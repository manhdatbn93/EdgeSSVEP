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P\1_MyProject\Writing paper\2_Compact Embedded SSVEP BCI\Github\EdgeSSVEP\Results\"/>
    </mc:Choice>
  </mc:AlternateContent>
  <xr:revisionPtr revIDLastSave="0" documentId="13_ncr:1_{5A2D5902-A5CF-4939-89AD-7933183EDAEA}" xr6:coauthVersionLast="47" xr6:coauthVersionMax="47" xr10:uidLastSave="{00000000-0000-0000-0000-000000000000}"/>
  <bookViews>
    <workbookView xWindow="-28920" yWindow="-120" windowWidth="29040" windowHeight="15720" xr2:uid="{83C95E1D-6FE5-42E0-8E74-9CC028FB9A78}"/>
  </bookViews>
  <sheets>
    <sheet name="Accuracy" sheetId="10" r:id="rId1"/>
    <sheet name="Processing time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0" l="1"/>
  <c r="B14" i="10"/>
  <c r="D13" i="10"/>
  <c r="D14" i="10"/>
  <c r="C14" i="10"/>
  <c r="D37" i="11"/>
  <c r="D36" i="11"/>
  <c r="D35" i="11"/>
  <c r="D34" i="11"/>
  <c r="C34" i="11"/>
  <c r="C36" i="11" s="1"/>
  <c r="AE26" i="11"/>
  <c r="AE25" i="11"/>
  <c r="AE24" i="11"/>
  <c r="AE23" i="11"/>
  <c r="AE22" i="11"/>
  <c r="AE21" i="11"/>
  <c r="AE20" i="11"/>
  <c r="AE19" i="11"/>
  <c r="AE18" i="11"/>
  <c r="AE17" i="11"/>
  <c r="AE16" i="11"/>
  <c r="AE15" i="11"/>
  <c r="AE14" i="11"/>
  <c r="AE13" i="11"/>
  <c r="AE12" i="11"/>
  <c r="AE11" i="11"/>
  <c r="AE10" i="11"/>
  <c r="AE9" i="11"/>
  <c r="AE8" i="11"/>
  <c r="AE7" i="11"/>
  <c r="AE6" i="11"/>
  <c r="AE5" i="11"/>
  <c r="AE4" i="11"/>
  <c r="AE3" i="11"/>
  <c r="AE27" i="11" s="1"/>
  <c r="AE29" i="11" s="1"/>
  <c r="AB26" i="11"/>
  <c r="AB25" i="11"/>
  <c r="AB24" i="11"/>
  <c r="AB23" i="11"/>
  <c r="AB22" i="11"/>
  <c r="AB21" i="11"/>
  <c r="AB20" i="11"/>
  <c r="AB19" i="11"/>
  <c r="AB18" i="11"/>
  <c r="AB17" i="11"/>
  <c r="AB16" i="11"/>
  <c r="AB15" i="11"/>
  <c r="AB14" i="11"/>
  <c r="AB13" i="11"/>
  <c r="AB12" i="11"/>
  <c r="AB11" i="11"/>
  <c r="AB10" i="11"/>
  <c r="AB9" i="11"/>
  <c r="AB8" i="11"/>
  <c r="AB7" i="11"/>
  <c r="AB6" i="11"/>
  <c r="AB5" i="11"/>
  <c r="AB4" i="11"/>
  <c r="AB3" i="11"/>
  <c r="AB28" i="11" s="1"/>
  <c r="AB30" i="11" s="1"/>
  <c r="Y26" i="11"/>
  <c r="Y25" i="11"/>
  <c r="Y24" i="11"/>
  <c r="Y23" i="11"/>
  <c r="Y22" i="11"/>
  <c r="Y21" i="11"/>
  <c r="Y20" i="11"/>
  <c r="Y19" i="11"/>
  <c r="Y18" i="11"/>
  <c r="Y17" i="11"/>
  <c r="Y16" i="11"/>
  <c r="Y15" i="11"/>
  <c r="Y14" i="11"/>
  <c r="Y13" i="11"/>
  <c r="Y12" i="11"/>
  <c r="Y11" i="11"/>
  <c r="Y10" i="11"/>
  <c r="Y9" i="11"/>
  <c r="Y8" i="11"/>
  <c r="Y7" i="11"/>
  <c r="Y6" i="11"/>
  <c r="Y5" i="11"/>
  <c r="Y4" i="11"/>
  <c r="Y3" i="11"/>
  <c r="Y28" i="11" s="1"/>
  <c r="Y30" i="11" s="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28" i="11" s="1"/>
  <c r="V30" i="11" s="1"/>
  <c r="V9" i="11"/>
  <c r="V8" i="11"/>
  <c r="V7" i="11"/>
  <c r="V6" i="11"/>
  <c r="V5" i="11"/>
  <c r="V4" i="11"/>
  <c r="V3" i="11"/>
  <c r="S26" i="11"/>
  <c r="S25" i="11"/>
  <c r="S24" i="11"/>
  <c r="S23" i="11"/>
  <c r="S22" i="11"/>
  <c r="S21" i="11"/>
  <c r="S20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8" i="11" s="1"/>
  <c r="S30" i="11" s="1"/>
  <c r="P26" i="11"/>
  <c r="P25" i="11"/>
  <c r="P24" i="11"/>
  <c r="P23" i="11"/>
  <c r="P22" i="11"/>
  <c r="P21" i="11"/>
  <c r="P20" i="11"/>
  <c r="P19" i="11"/>
  <c r="P18" i="11"/>
  <c r="P17" i="11"/>
  <c r="P16" i="11"/>
  <c r="P15" i="11"/>
  <c r="P14" i="11"/>
  <c r="P13" i="11"/>
  <c r="P12" i="11"/>
  <c r="P11" i="11"/>
  <c r="P10" i="11"/>
  <c r="P9" i="11"/>
  <c r="P8" i="11"/>
  <c r="P7" i="11"/>
  <c r="P6" i="11"/>
  <c r="P5" i="11"/>
  <c r="P4" i="11"/>
  <c r="P3" i="11"/>
  <c r="P28" i="11" s="1"/>
  <c r="P30" i="11" s="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8" i="11" s="1"/>
  <c r="M30" i="11" s="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28" i="11" s="1"/>
  <c r="J30" i="11" s="1"/>
  <c r="J13" i="11"/>
  <c r="J12" i="11"/>
  <c r="J11" i="11"/>
  <c r="J10" i="11"/>
  <c r="J9" i="11"/>
  <c r="J8" i="11"/>
  <c r="J7" i="11"/>
  <c r="J6" i="11"/>
  <c r="J5" i="11"/>
  <c r="J4" i="11"/>
  <c r="J3" i="11"/>
  <c r="J27" i="11" s="1"/>
  <c r="J29" i="11" s="1"/>
  <c r="G30" i="11"/>
  <c r="G29" i="11"/>
  <c r="G28" i="11"/>
  <c r="G27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3" i="11"/>
  <c r="C35" i="11"/>
  <c r="C37" i="11" s="1"/>
  <c r="B35" i="11"/>
  <c r="B37" i="11" s="1"/>
  <c r="C28" i="11"/>
  <c r="C30" i="11" s="1"/>
  <c r="E28" i="11"/>
  <c r="E30" i="11" s="1"/>
  <c r="F28" i="11"/>
  <c r="F30" i="11" s="1"/>
  <c r="H28" i="11"/>
  <c r="H30" i="11" s="1"/>
  <c r="I28" i="11"/>
  <c r="I30" i="11" s="1"/>
  <c r="K28" i="11"/>
  <c r="K30" i="11" s="1"/>
  <c r="L28" i="11"/>
  <c r="L30" i="11" s="1"/>
  <c r="N28" i="11"/>
  <c r="N30" i="11" s="1"/>
  <c r="O28" i="11"/>
  <c r="O30" i="11" s="1"/>
  <c r="Q28" i="11"/>
  <c r="Q30" i="11" s="1"/>
  <c r="R28" i="11"/>
  <c r="R30" i="11" s="1"/>
  <c r="T28" i="11"/>
  <c r="T30" i="11" s="1"/>
  <c r="U28" i="11"/>
  <c r="U30" i="11" s="1"/>
  <c r="W28" i="11"/>
  <c r="W30" i="11" s="1"/>
  <c r="X28" i="11"/>
  <c r="X30" i="11" s="1"/>
  <c r="Z28" i="11"/>
  <c r="Z30" i="11" s="1"/>
  <c r="AA28" i="11"/>
  <c r="AA30" i="11" s="1"/>
  <c r="AC28" i="11"/>
  <c r="AC30" i="11" s="1"/>
  <c r="AD28" i="11"/>
  <c r="AD30" i="11" s="1"/>
  <c r="B28" i="11"/>
  <c r="B30" i="11" s="1"/>
  <c r="B34" i="11"/>
  <c r="B36" i="11" s="1"/>
  <c r="C27" i="11"/>
  <c r="C29" i="11" s="1"/>
  <c r="E27" i="11"/>
  <c r="E29" i="11" s="1"/>
  <c r="F27" i="11"/>
  <c r="F29" i="11" s="1"/>
  <c r="H27" i="11"/>
  <c r="H29" i="11" s="1"/>
  <c r="I27" i="11"/>
  <c r="I29" i="11" s="1"/>
  <c r="K27" i="11"/>
  <c r="K29" i="11" s="1"/>
  <c r="L27" i="11"/>
  <c r="L29" i="11" s="1"/>
  <c r="N27" i="11"/>
  <c r="N29" i="11" s="1"/>
  <c r="O27" i="11"/>
  <c r="O29" i="11" s="1"/>
  <c r="Q27" i="11"/>
  <c r="Q29" i="11" s="1"/>
  <c r="R27" i="11"/>
  <c r="R29" i="11" s="1"/>
  <c r="T27" i="11"/>
  <c r="T29" i="11" s="1"/>
  <c r="U27" i="11"/>
  <c r="U29" i="11" s="1"/>
  <c r="W27" i="11"/>
  <c r="W29" i="11" s="1"/>
  <c r="X27" i="11"/>
  <c r="X29" i="11" s="1"/>
  <c r="Z27" i="11"/>
  <c r="Z29" i="11" s="1"/>
  <c r="AA27" i="11"/>
  <c r="AA29" i="11" s="1"/>
  <c r="AC27" i="11"/>
  <c r="AC29" i="11" s="1"/>
  <c r="AD27" i="11"/>
  <c r="AD29" i="11" s="1"/>
  <c r="B27" i="11"/>
  <c r="B29" i="11" s="1"/>
  <c r="C13" i="10"/>
  <c r="AE28" i="11" l="1"/>
  <c r="AE30" i="11" s="1"/>
  <c r="AB27" i="11"/>
  <c r="AB29" i="11" s="1"/>
  <c r="Y27" i="11"/>
  <c r="Y29" i="11" s="1"/>
  <c r="V27" i="11"/>
  <c r="V29" i="11" s="1"/>
  <c r="S27" i="11"/>
  <c r="S29" i="11" s="1"/>
  <c r="P27" i="11"/>
  <c r="P29" i="11" s="1"/>
  <c r="M27" i="11"/>
  <c r="M29" i="11" s="1"/>
  <c r="D28" i="11"/>
  <c r="D30" i="11" s="1"/>
  <c r="D27" i="11"/>
  <c r="D29" i="11" s="1"/>
</calcChain>
</file>

<file path=xl/sharedStrings.xml><?xml version="1.0" encoding="utf-8"?>
<sst xmlns="http://schemas.openxmlformats.org/spreadsheetml/2006/main" count="72" uniqueCount="26">
  <si>
    <t>Subject</t>
  </si>
  <si>
    <t>S10</t>
  </si>
  <si>
    <t>Avg</t>
  </si>
  <si>
    <t>BPF</t>
  </si>
  <si>
    <t>CCA</t>
  </si>
  <si>
    <t>Trial</t>
  </si>
  <si>
    <t>Total</t>
  </si>
  <si>
    <t>STD.S</t>
  </si>
  <si>
    <t>us</t>
  </si>
  <si>
    <t>ms</t>
  </si>
  <si>
    <t>Unit</t>
  </si>
  <si>
    <t>Sum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</si>
  <si>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</si>
  <si>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</si>
  <si>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</si>
  <si>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</si>
  <si>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</si>
  <si>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</si>
  <si>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</si>
  <si>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</si>
  <si>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</si>
  <si>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Offline Accuracy</t>
  </si>
  <si>
    <t>Python</t>
  </si>
  <si>
    <t>C</t>
  </si>
  <si>
    <t>STD</t>
  </si>
  <si>
    <t>Online Accuracy 
(on-device)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</si>
</sst>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E609-5C99-414F-B4A1-9B6EA324594E}">
  <dimension ref="A1:D14"/>
  <sheetViews>
    <sheetView tabSelected="1" workbookViewId="0">
      <selection activeCell="C24" sqref="C24"/>
    </sheetView>
  </sheetViews>
  <sheetFormatPr defaultRowHeight="15" x14ac:dyDescent="0.25"/>
  <cols>
    <col min="2" max="2" width="15.42578125" bestFit="1" customWidth="1"/>
    <col min="3" max="3" width="19" bestFit="1" customWidth="1"/>
    <col min="4" max="4" width="14" bestFit="1" customWidth="1"/>
  </cols>
  <sheetData>
    <row r="1" spans="1:4" x14ac:dyDescent="0.25">
      <c r="A1" s="17" t="s">
        <v>0</v>
      </c>
      <c r="B1" s="18" t="s">
        <v>25</v>
      </c>
      <c r="C1" s="17" t="s">
        <v>21</v>
      </c>
      <c r="D1" s="17"/>
    </row>
    <row r="2" spans="1:4" x14ac:dyDescent="0.25">
      <c r="A2" s="17"/>
      <c r="B2" s="17"/>
      <c r="C2" s="19" t="s">
        <v>22</v>
      </c>
      <c r="D2" s="19" t="s">
        <v>23</v>
      </c>
    </row>
    <row r="3" spans="1:4" x14ac:dyDescent="0.25">
      <c r="A3" s="1" t="s">
        <v>12</v>
      </c>
      <c r="B3" s="16">
        <v>100</v>
      </c>
      <c r="C3" s="16">
        <v>100</v>
      </c>
      <c r="D3" s="16">
        <v>100</v>
      </c>
    </row>
    <row r="4" spans="1:4" x14ac:dyDescent="0.25">
      <c r="A4" s="1" t="s">
        <v>13</v>
      </c>
      <c r="B4" s="16">
        <v>100</v>
      </c>
      <c r="C4" s="16">
        <v>100</v>
      </c>
      <c r="D4" s="16">
        <v>100</v>
      </c>
    </row>
    <row r="5" spans="1:4" x14ac:dyDescent="0.25">
      <c r="A5" s="1" t="s">
        <v>14</v>
      </c>
      <c r="B5" s="16">
        <v>100</v>
      </c>
      <c r="C5" s="16">
        <v>100</v>
      </c>
      <c r="D5" s="16">
        <v>100</v>
      </c>
    </row>
    <row r="6" spans="1:4" x14ac:dyDescent="0.25">
      <c r="A6" s="1" t="s">
        <v>15</v>
      </c>
      <c r="B6" s="16">
        <v>100</v>
      </c>
      <c r="C6" s="16">
        <v>100</v>
      </c>
      <c r="D6" s="16">
        <v>100</v>
      </c>
    </row>
    <row r="7" spans="1:4" x14ac:dyDescent="0.25">
      <c r="A7" s="1" t="s">
        <v>16</v>
      </c>
      <c r="B7" s="16">
        <v>95.8333333333333</v>
      </c>
      <c r="C7" s="16">
        <v>95.83</v>
      </c>
      <c r="D7" s="16">
        <v>95.8333333333333</v>
      </c>
    </row>
    <row r="8" spans="1:4" x14ac:dyDescent="0.25">
      <c r="A8" s="1" t="s">
        <v>17</v>
      </c>
      <c r="B8" s="16">
        <v>100</v>
      </c>
      <c r="C8" s="16">
        <v>100</v>
      </c>
      <c r="D8" s="16">
        <v>100</v>
      </c>
    </row>
    <row r="9" spans="1:4" x14ac:dyDescent="0.25">
      <c r="A9" s="1" t="s">
        <v>18</v>
      </c>
      <c r="B9" s="16">
        <v>100</v>
      </c>
      <c r="C9" s="16">
        <v>100</v>
      </c>
      <c r="D9" s="16">
        <v>100</v>
      </c>
    </row>
    <row r="10" spans="1:4" x14ac:dyDescent="0.25">
      <c r="A10" s="1" t="s">
        <v>19</v>
      </c>
      <c r="B10" s="16">
        <v>100</v>
      </c>
      <c r="C10" s="16">
        <v>100</v>
      </c>
      <c r="D10" s="16">
        <v>100</v>
      </c>
    </row>
    <row r="11" spans="1:4" x14ac:dyDescent="0.25">
      <c r="A11" s="1" t="s">
        <v>20</v>
      </c>
      <c r="B11" s="16">
        <v>100</v>
      </c>
      <c r="C11" s="16">
        <v>100</v>
      </c>
      <c r="D11" s="16">
        <v>100</v>
      </c>
    </row>
    <row r="12" spans="1:4" x14ac:dyDescent="0.25">
      <c r="A12" s="1" t="s">
        <v>1</v>
      </c>
      <c r="B12" s="16">
        <v>95.8333333333333</v>
      </c>
      <c r="C12" s="16">
        <v>95.83</v>
      </c>
      <c r="D12" s="16">
        <v>95.8333333333333</v>
      </c>
    </row>
    <row r="13" spans="1:4" x14ac:dyDescent="0.25">
      <c r="A13" s="4" t="s">
        <v>2</v>
      </c>
      <c r="B13" s="20">
        <f>AVERAGE(B3:B12)</f>
        <v>99.166666666666657</v>
      </c>
      <c r="C13" s="20">
        <f>AVERAGE(C3:C12)</f>
        <v>99.165999999999997</v>
      </c>
      <c r="D13" s="20">
        <f>AVERAGE(D3:D12)</f>
        <v>99.166666666666657</v>
      </c>
    </row>
    <row r="14" spans="1:4" x14ac:dyDescent="0.25">
      <c r="A14" s="4" t="s">
        <v>24</v>
      </c>
      <c r="B14" s="20">
        <f>_xlfn.STDEV.S(B3:B12)</f>
        <v>1.7568209223157802</v>
      </c>
      <c r="C14" s="20">
        <f>_xlfn.STDEV.S(C3:C12)</f>
        <v>1.7582263790536197</v>
      </c>
      <c r="D14" s="20">
        <f>_xlfn.STDEV.S(D3:D12)</f>
        <v>1.7568209223157802</v>
      </c>
    </row>
  </sheetData>
  <mergeCells count="3">
    <mergeCell ref="A1:A2"/>
    <mergeCell ref="C1:D1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D002C-F41D-43BA-8633-DDF744943BDB}">
  <dimension ref="A1:AN37"/>
  <sheetViews>
    <sheetView zoomScale="85" zoomScaleNormal="85" workbookViewId="0">
      <selection activeCell="M37" sqref="M37"/>
    </sheetView>
  </sheetViews>
  <sheetFormatPr defaultRowHeight="15" x14ac:dyDescent="0.25"/>
  <cols>
    <col min="2" max="3" width="10.5703125" bestFit="1" customWidth="1"/>
    <col min="4" max="4" width="10.7109375" bestFit="1" customWidth="1"/>
    <col min="5" max="6" width="10.5703125" bestFit="1" customWidth="1"/>
    <col min="7" max="7" width="10.5703125" customWidth="1"/>
    <col min="8" max="9" width="10.5703125" bestFit="1" customWidth="1"/>
    <col min="10" max="10" width="10.5703125" customWidth="1"/>
    <col min="11" max="12" width="10.5703125" bestFit="1" customWidth="1"/>
    <col min="13" max="13" width="10.5703125" customWidth="1"/>
    <col min="14" max="15" width="10.5703125" bestFit="1" customWidth="1"/>
    <col min="16" max="16" width="10.5703125" customWidth="1"/>
    <col min="17" max="18" width="10.5703125" bestFit="1" customWidth="1"/>
    <col min="19" max="19" width="10.5703125" customWidth="1"/>
    <col min="20" max="21" width="10.5703125" bestFit="1" customWidth="1"/>
    <col min="22" max="22" width="10.5703125" customWidth="1"/>
    <col min="23" max="24" width="10.5703125" bestFit="1" customWidth="1"/>
    <col min="25" max="25" width="10.5703125" customWidth="1"/>
    <col min="26" max="27" width="10.5703125" bestFit="1" customWidth="1"/>
    <col min="28" max="28" width="10.5703125" customWidth="1"/>
    <col min="29" max="30" width="10.5703125" bestFit="1" customWidth="1"/>
    <col min="31" max="31" width="11" customWidth="1"/>
  </cols>
  <sheetData>
    <row r="1" spans="1:40" x14ac:dyDescent="0.25">
      <c r="A1" s="14" t="s">
        <v>5</v>
      </c>
      <c r="B1" s="15" t="s">
        <v>12</v>
      </c>
      <c r="C1" s="15"/>
      <c r="D1" s="15"/>
      <c r="E1" s="14" t="s">
        <v>13</v>
      </c>
      <c r="F1" s="14"/>
      <c r="G1" s="14"/>
      <c r="H1" s="15" t="s">
        <v>14</v>
      </c>
      <c r="I1" s="15"/>
      <c r="J1" s="15"/>
      <c r="K1" s="14" t="s">
        <v>15</v>
      </c>
      <c r="L1" s="14"/>
      <c r="M1" s="14"/>
      <c r="N1" s="15" t="s">
        <v>16</v>
      </c>
      <c r="O1" s="15"/>
      <c r="P1" s="15"/>
      <c r="Q1" s="14" t="s">
        <v>17</v>
      </c>
      <c r="R1" s="14"/>
      <c r="S1" s="14"/>
      <c r="T1" s="15" t="s">
        <v>18</v>
      </c>
      <c r="U1" s="15"/>
      <c r="V1" s="15"/>
      <c r="W1" s="14" t="s">
        <v>19</v>
      </c>
      <c r="X1" s="14"/>
      <c r="Y1" s="14"/>
      <c r="Z1" s="15" t="s">
        <v>20</v>
      </c>
      <c r="AA1" s="15"/>
      <c r="AB1" s="15"/>
      <c r="AC1" s="14" t="s">
        <v>1</v>
      </c>
      <c r="AD1" s="14"/>
      <c r="AE1" s="14"/>
      <c r="AN1" t="s">
        <v>10</v>
      </c>
    </row>
    <row r="2" spans="1:40" x14ac:dyDescent="0.25">
      <c r="A2" s="14"/>
      <c r="B2" s="10" t="s">
        <v>3</v>
      </c>
      <c r="C2" s="10" t="s">
        <v>4</v>
      </c>
      <c r="D2" s="10" t="s">
        <v>11</v>
      </c>
      <c r="E2" s="4" t="s">
        <v>3</v>
      </c>
      <c r="F2" s="4" t="s">
        <v>4</v>
      </c>
      <c r="G2" s="4" t="s">
        <v>11</v>
      </c>
      <c r="H2" s="10" t="s">
        <v>3</v>
      </c>
      <c r="I2" s="10" t="s">
        <v>4</v>
      </c>
      <c r="J2" s="10" t="s">
        <v>11</v>
      </c>
      <c r="K2" s="4" t="s">
        <v>3</v>
      </c>
      <c r="L2" s="4" t="s">
        <v>4</v>
      </c>
      <c r="M2" s="4" t="s">
        <v>11</v>
      </c>
      <c r="N2" s="10" t="s">
        <v>3</v>
      </c>
      <c r="O2" s="10" t="s">
        <v>4</v>
      </c>
      <c r="P2" s="10" t="s">
        <v>11</v>
      </c>
      <c r="Q2" s="4" t="s">
        <v>3</v>
      </c>
      <c r="R2" s="4" t="s">
        <v>4</v>
      </c>
      <c r="S2" s="4" t="s">
        <v>11</v>
      </c>
      <c r="T2" s="10" t="s">
        <v>3</v>
      </c>
      <c r="U2" s="10" t="s">
        <v>4</v>
      </c>
      <c r="V2" s="10" t="s">
        <v>11</v>
      </c>
      <c r="W2" s="4" t="s">
        <v>3</v>
      </c>
      <c r="X2" s="4" t="s">
        <v>4</v>
      </c>
      <c r="Y2" s="4" t="s">
        <v>11</v>
      </c>
      <c r="Z2" s="10" t="s">
        <v>3</v>
      </c>
      <c r="AA2" s="10" t="s">
        <v>4</v>
      </c>
      <c r="AB2" s="10" t="s">
        <v>11</v>
      </c>
      <c r="AC2" s="4" t="s">
        <v>3</v>
      </c>
      <c r="AD2" s="4" t="s">
        <v>4</v>
      </c>
      <c r="AE2" s="4" t="s">
        <v>11</v>
      </c>
    </row>
    <row r="3" spans="1:40" x14ac:dyDescent="0.25">
      <c r="A3" s="1">
        <v>1</v>
      </c>
      <c r="B3" s="11">
        <v>345655</v>
      </c>
      <c r="C3" s="11">
        <v>140103</v>
      </c>
      <c r="D3" s="11">
        <f>B3+C3</f>
        <v>485758</v>
      </c>
      <c r="E3" s="2">
        <v>345844</v>
      </c>
      <c r="F3" s="2">
        <v>141899</v>
      </c>
      <c r="G3" s="1">
        <f>E3+F3</f>
        <v>487743</v>
      </c>
      <c r="H3" s="12">
        <v>347383</v>
      </c>
      <c r="I3" s="12">
        <v>139506</v>
      </c>
      <c r="J3" s="11">
        <f>H3+I3</f>
        <v>486889</v>
      </c>
      <c r="K3" s="2">
        <v>347180</v>
      </c>
      <c r="L3" s="2">
        <v>142352</v>
      </c>
      <c r="M3" s="1">
        <f>K3+L3</f>
        <v>489532</v>
      </c>
      <c r="N3" s="12">
        <v>347160</v>
      </c>
      <c r="O3" s="12">
        <v>140196</v>
      </c>
      <c r="P3" s="11">
        <f>N3+O3</f>
        <v>487356</v>
      </c>
      <c r="Q3" s="2">
        <v>347719</v>
      </c>
      <c r="R3" s="2">
        <v>141132</v>
      </c>
      <c r="S3" s="1">
        <f>Q3+R3</f>
        <v>488851</v>
      </c>
      <c r="T3" s="12">
        <v>347224</v>
      </c>
      <c r="U3" s="12">
        <v>141115</v>
      </c>
      <c r="V3" s="11">
        <f>T3+U3</f>
        <v>488339</v>
      </c>
      <c r="W3" s="2">
        <v>347981</v>
      </c>
      <c r="X3" s="2">
        <v>144533</v>
      </c>
      <c r="Y3" s="1">
        <f>W3+X3</f>
        <v>492514</v>
      </c>
      <c r="Z3" s="12">
        <v>348137</v>
      </c>
      <c r="AA3" s="12">
        <v>141091</v>
      </c>
      <c r="AB3" s="11">
        <f>Z3+AA3</f>
        <v>489228</v>
      </c>
      <c r="AC3" s="2">
        <v>345766</v>
      </c>
      <c r="AD3" s="2">
        <v>141497</v>
      </c>
      <c r="AE3" s="1">
        <f>AC3+AD3</f>
        <v>487263</v>
      </c>
    </row>
    <row r="4" spans="1:40" x14ac:dyDescent="0.25">
      <c r="A4" s="1">
        <v>2</v>
      </c>
      <c r="B4" s="11">
        <v>345942</v>
      </c>
      <c r="C4" s="11">
        <v>140695</v>
      </c>
      <c r="D4" s="11">
        <f t="shared" ref="D4:D26" si="0">B4+C4</f>
        <v>486637</v>
      </c>
      <c r="E4" s="2">
        <v>346357</v>
      </c>
      <c r="F4" s="2">
        <v>140970</v>
      </c>
      <c r="G4" s="1">
        <f t="shared" ref="G4:G26" si="1">E4+F4</f>
        <v>487327</v>
      </c>
      <c r="H4" s="12">
        <v>348192</v>
      </c>
      <c r="I4" s="12">
        <v>139726</v>
      </c>
      <c r="J4" s="11">
        <f t="shared" ref="J4:J26" si="2">H4+I4</f>
        <v>487918</v>
      </c>
      <c r="K4" s="2">
        <v>346846</v>
      </c>
      <c r="L4" s="2">
        <v>141858</v>
      </c>
      <c r="M4" s="1">
        <f t="shared" ref="M4:M26" si="3">K4+L4</f>
        <v>488704</v>
      </c>
      <c r="N4" s="12">
        <v>347201</v>
      </c>
      <c r="O4" s="12">
        <v>142146</v>
      </c>
      <c r="P4" s="11">
        <f t="shared" ref="P4:P26" si="4">N4+O4</f>
        <v>489347</v>
      </c>
      <c r="Q4" s="2">
        <v>348151</v>
      </c>
      <c r="R4" s="2">
        <v>143337</v>
      </c>
      <c r="S4" s="1">
        <f t="shared" ref="S4:S26" si="5">Q4+R4</f>
        <v>491488</v>
      </c>
      <c r="T4" s="12">
        <v>347172</v>
      </c>
      <c r="U4" s="12">
        <v>141992</v>
      </c>
      <c r="V4" s="11">
        <f t="shared" ref="V4:V26" si="6">T4+U4</f>
        <v>489164</v>
      </c>
      <c r="W4" s="2">
        <v>347332</v>
      </c>
      <c r="X4" s="2">
        <v>139612</v>
      </c>
      <c r="Y4" s="1">
        <f t="shared" ref="Y4:Y26" si="7">W4+X4</f>
        <v>486944</v>
      </c>
      <c r="Z4" s="12">
        <v>346566</v>
      </c>
      <c r="AA4" s="12">
        <v>141804</v>
      </c>
      <c r="AB4" s="11">
        <f t="shared" ref="AB4:AB26" si="8">Z4+AA4</f>
        <v>488370</v>
      </c>
      <c r="AC4" s="2">
        <v>347280</v>
      </c>
      <c r="AD4" s="2">
        <v>144318</v>
      </c>
      <c r="AE4" s="1">
        <f t="shared" ref="AE4:AE26" si="9">AC4+AD4</f>
        <v>491598</v>
      </c>
    </row>
    <row r="5" spans="1:40" x14ac:dyDescent="0.25">
      <c r="A5" s="1">
        <v>3</v>
      </c>
      <c r="B5" s="11">
        <v>347031</v>
      </c>
      <c r="C5" s="11">
        <v>141713</v>
      </c>
      <c r="D5" s="11">
        <f t="shared" si="0"/>
        <v>488744</v>
      </c>
      <c r="E5" s="2">
        <v>346937</v>
      </c>
      <c r="F5" s="2">
        <v>141853</v>
      </c>
      <c r="G5" s="1">
        <f t="shared" si="1"/>
        <v>488790</v>
      </c>
      <c r="H5" s="12">
        <v>349821</v>
      </c>
      <c r="I5" s="12">
        <v>140042</v>
      </c>
      <c r="J5" s="11">
        <f t="shared" si="2"/>
        <v>489863</v>
      </c>
      <c r="K5" s="2">
        <v>347212</v>
      </c>
      <c r="L5" s="2">
        <v>141091</v>
      </c>
      <c r="M5" s="1">
        <f t="shared" si="3"/>
        <v>488303</v>
      </c>
      <c r="N5" s="12">
        <v>347474</v>
      </c>
      <c r="O5" s="12">
        <v>142844</v>
      </c>
      <c r="P5" s="11">
        <f t="shared" si="4"/>
        <v>490318</v>
      </c>
      <c r="Q5" s="2">
        <v>347984</v>
      </c>
      <c r="R5" s="2">
        <v>140093</v>
      </c>
      <c r="S5" s="1">
        <f t="shared" si="5"/>
        <v>488077</v>
      </c>
      <c r="T5" s="12">
        <v>347494</v>
      </c>
      <c r="U5" s="12">
        <v>140908</v>
      </c>
      <c r="V5" s="11">
        <f t="shared" si="6"/>
        <v>488402</v>
      </c>
      <c r="W5" s="2">
        <v>347264</v>
      </c>
      <c r="X5" s="2">
        <v>140368</v>
      </c>
      <c r="Y5" s="1">
        <f t="shared" si="7"/>
        <v>487632</v>
      </c>
      <c r="Z5" s="12">
        <v>347656</v>
      </c>
      <c r="AA5" s="12">
        <v>140479</v>
      </c>
      <c r="AB5" s="11">
        <f t="shared" si="8"/>
        <v>488135</v>
      </c>
      <c r="AC5" s="2">
        <v>347084</v>
      </c>
      <c r="AD5" s="2">
        <v>140633</v>
      </c>
      <c r="AE5" s="1">
        <f t="shared" si="9"/>
        <v>487717</v>
      </c>
    </row>
    <row r="6" spans="1:40" x14ac:dyDescent="0.25">
      <c r="A6" s="1">
        <v>4</v>
      </c>
      <c r="B6" s="11">
        <v>346830</v>
      </c>
      <c r="C6" s="11">
        <v>140603</v>
      </c>
      <c r="D6" s="11">
        <f t="shared" si="0"/>
        <v>487433</v>
      </c>
      <c r="E6" s="2">
        <v>346779</v>
      </c>
      <c r="F6" s="2">
        <v>139339</v>
      </c>
      <c r="G6" s="1">
        <f t="shared" si="1"/>
        <v>486118</v>
      </c>
      <c r="H6" s="12">
        <v>349932</v>
      </c>
      <c r="I6" s="12">
        <v>139034</v>
      </c>
      <c r="J6" s="11">
        <f t="shared" si="2"/>
        <v>488966</v>
      </c>
      <c r="K6" s="2">
        <v>346818</v>
      </c>
      <c r="L6" s="2">
        <v>140240</v>
      </c>
      <c r="M6" s="1">
        <f t="shared" si="3"/>
        <v>487058</v>
      </c>
      <c r="N6" s="12">
        <v>353513</v>
      </c>
      <c r="O6" s="12">
        <v>140471</v>
      </c>
      <c r="P6" s="11">
        <f t="shared" si="4"/>
        <v>493984</v>
      </c>
      <c r="Q6" s="2">
        <v>347658</v>
      </c>
      <c r="R6" s="2">
        <v>142117</v>
      </c>
      <c r="S6" s="1">
        <f t="shared" si="5"/>
        <v>489775</v>
      </c>
      <c r="T6" s="12">
        <v>349457</v>
      </c>
      <c r="U6" s="12">
        <v>141583</v>
      </c>
      <c r="V6" s="11">
        <f t="shared" si="6"/>
        <v>491040</v>
      </c>
      <c r="W6" s="2">
        <v>347009</v>
      </c>
      <c r="X6" s="2">
        <v>140590</v>
      </c>
      <c r="Y6" s="1">
        <f t="shared" si="7"/>
        <v>487599</v>
      </c>
      <c r="Z6" s="12">
        <v>347153</v>
      </c>
      <c r="AA6" s="12">
        <v>143898</v>
      </c>
      <c r="AB6" s="11">
        <f t="shared" si="8"/>
        <v>491051</v>
      </c>
      <c r="AC6" s="2">
        <v>347571</v>
      </c>
      <c r="AD6" s="2">
        <v>141767</v>
      </c>
      <c r="AE6" s="1">
        <f t="shared" si="9"/>
        <v>489338</v>
      </c>
    </row>
    <row r="7" spans="1:40" x14ac:dyDescent="0.25">
      <c r="A7" s="1">
        <v>5</v>
      </c>
      <c r="B7" s="11">
        <v>346250</v>
      </c>
      <c r="C7" s="11">
        <v>139619</v>
      </c>
      <c r="D7" s="11">
        <f t="shared" si="0"/>
        <v>485869</v>
      </c>
      <c r="E7" s="2">
        <v>346247</v>
      </c>
      <c r="F7" s="2">
        <v>140481</v>
      </c>
      <c r="G7" s="1">
        <f t="shared" si="1"/>
        <v>486728</v>
      </c>
      <c r="H7" s="12">
        <v>350164</v>
      </c>
      <c r="I7" s="12">
        <v>139447</v>
      </c>
      <c r="J7" s="11">
        <f t="shared" si="2"/>
        <v>489611</v>
      </c>
      <c r="K7" s="2">
        <v>346945</v>
      </c>
      <c r="L7" s="2">
        <v>141080</v>
      </c>
      <c r="M7" s="1">
        <f t="shared" si="3"/>
        <v>488025</v>
      </c>
      <c r="N7" s="12">
        <v>347088</v>
      </c>
      <c r="O7" s="12">
        <v>141839</v>
      </c>
      <c r="P7" s="11">
        <f t="shared" si="4"/>
        <v>488927</v>
      </c>
      <c r="Q7" s="2">
        <v>347565</v>
      </c>
      <c r="R7" s="2">
        <v>141482</v>
      </c>
      <c r="S7" s="1">
        <f t="shared" si="5"/>
        <v>489047</v>
      </c>
      <c r="T7" s="12">
        <v>354042</v>
      </c>
      <c r="U7" s="12">
        <v>140225</v>
      </c>
      <c r="V7" s="11">
        <f t="shared" si="6"/>
        <v>494267</v>
      </c>
      <c r="W7" s="2">
        <v>347222</v>
      </c>
      <c r="X7" s="2">
        <v>139863</v>
      </c>
      <c r="Y7" s="1">
        <f t="shared" si="7"/>
        <v>487085</v>
      </c>
      <c r="Z7" s="12">
        <v>347153</v>
      </c>
      <c r="AA7" s="12">
        <v>139975</v>
      </c>
      <c r="AB7" s="11">
        <f t="shared" si="8"/>
        <v>487128</v>
      </c>
      <c r="AC7" s="2">
        <v>347199</v>
      </c>
      <c r="AD7" s="2">
        <v>141985</v>
      </c>
      <c r="AE7" s="1">
        <f t="shared" si="9"/>
        <v>489184</v>
      </c>
    </row>
    <row r="8" spans="1:40" x14ac:dyDescent="0.25">
      <c r="A8" s="1">
        <v>6</v>
      </c>
      <c r="B8" s="11">
        <v>346046</v>
      </c>
      <c r="C8" s="11">
        <v>140340</v>
      </c>
      <c r="D8" s="11">
        <f t="shared" si="0"/>
        <v>486386</v>
      </c>
      <c r="E8" s="2">
        <v>345849</v>
      </c>
      <c r="F8" s="2">
        <v>140948</v>
      </c>
      <c r="G8" s="1">
        <f t="shared" si="1"/>
        <v>486797</v>
      </c>
      <c r="H8" s="12">
        <v>348623</v>
      </c>
      <c r="I8" s="12">
        <v>139632</v>
      </c>
      <c r="J8" s="11">
        <f t="shared" si="2"/>
        <v>488255</v>
      </c>
      <c r="K8" s="2">
        <v>346964</v>
      </c>
      <c r="L8" s="2">
        <v>141549</v>
      </c>
      <c r="M8" s="1">
        <f t="shared" si="3"/>
        <v>488513</v>
      </c>
      <c r="N8" s="12">
        <v>340006</v>
      </c>
      <c r="O8" s="12">
        <v>142033</v>
      </c>
      <c r="P8" s="11">
        <f t="shared" si="4"/>
        <v>482039</v>
      </c>
      <c r="Q8" s="2">
        <v>348612</v>
      </c>
      <c r="R8" s="2">
        <v>139636</v>
      </c>
      <c r="S8" s="1">
        <f t="shared" si="5"/>
        <v>488248</v>
      </c>
      <c r="T8" s="12">
        <v>346940</v>
      </c>
      <c r="U8" s="12">
        <v>142137</v>
      </c>
      <c r="V8" s="11">
        <f t="shared" si="6"/>
        <v>489077</v>
      </c>
      <c r="W8" s="2">
        <v>354451</v>
      </c>
      <c r="X8" s="2">
        <v>143413</v>
      </c>
      <c r="Y8" s="1">
        <f t="shared" si="7"/>
        <v>497864</v>
      </c>
      <c r="Z8" s="12">
        <v>346459</v>
      </c>
      <c r="AA8" s="12">
        <v>141509</v>
      </c>
      <c r="AB8" s="11">
        <f t="shared" si="8"/>
        <v>487968</v>
      </c>
      <c r="AC8" s="2">
        <v>347132</v>
      </c>
      <c r="AD8" s="2">
        <v>141727</v>
      </c>
      <c r="AE8" s="1">
        <f t="shared" si="9"/>
        <v>488859</v>
      </c>
    </row>
    <row r="9" spans="1:40" x14ac:dyDescent="0.25">
      <c r="A9" s="1">
        <v>7</v>
      </c>
      <c r="B9" s="11">
        <v>346611</v>
      </c>
      <c r="C9" s="11">
        <v>142607</v>
      </c>
      <c r="D9" s="11">
        <f t="shared" si="0"/>
        <v>489218</v>
      </c>
      <c r="E9" s="2">
        <v>346702</v>
      </c>
      <c r="F9" s="2">
        <v>140415</v>
      </c>
      <c r="G9" s="1">
        <f t="shared" si="1"/>
        <v>487117</v>
      </c>
      <c r="H9" s="12">
        <v>347862</v>
      </c>
      <c r="I9" s="12">
        <v>140879</v>
      </c>
      <c r="J9" s="11">
        <f t="shared" si="2"/>
        <v>488741</v>
      </c>
      <c r="K9" s="2">
        <v>346867</v>
      </c>
      <c r="L9" s="2">
        <v>143573</v>
      </c>
      <c r="M9" s="1">
        <f t="shared" si="3"/>
        <v>490440</v>
      </c>
      <c r="N9" s="12">
        <v>347315</v>
      </c>
      <c r="O9" s="12">
        <v>143460</v>
      </c>
      <c r="P9" s="11">
        <f t="shared" si="4"/>
        <v>490775</v>
      </c>
      <c r="Q9" s="2">
        <v>347398</v>
      </c>
      <c r="R9" s="2">
        <v>142714</v>
      </c>
      <c r="S9" s="1">
        <f t="shared" si="5"/>
        <v>490112</v>
      </c>
      <c r="T9" s="12">
        <v>345649</v>
      </c>
      <c r="U9" s="12">
        <v>141633</v>
      </c>
      <c r="V9" s="11">
        <f t="shared" si="6"/>
        <v>487282</v>
      </c>
      <c r="W9" s="2">
        <v>347115</v>
      </c>
      <c r="X9" s="2">
        <v>141989</v>
      </c>
      <c r="Y9" s="1">
        <f t="shared" si="7"/>
        <v>489104</v>
      </c>
      <c r="Z9" s="12">
        <v>348525</v>
      </c>
      <c r="AA9" s="12">
        <v>142482</v>
      </c>
      <c r="AB9" s="11">
        <f t="shared" si="8"/>
        <v>491007</v>
      </c>
      <c r="AC9" s="2">
        <v>347091</v>
      </c>
      <c r="AD9" s="2">
        <v>141192</v>
      </c>
      <c r="AE9" s="1">
        <f t="shared" si="9"/>
        <v>488283</v>
      </c>
    </row>
    <row r="10" spans="1:40" x14ac:dyDescent="0.25">
      <c r="A10" s="1">
        <v>8</v>
      </c>
      <c r="B10" s="11">
        <v>346474</v>
      </c>
      <c r="C10" s="11">
        <v>140170</v>
      </c>
      <c r="D10" s="11">
        <f t="shared" si="0"/>
        <v>486644</v>
      </c>
      <c r="E10" s="2">
        <v>339814</v>
      </c>
      <c r="F10" s="2">
        <v>143032</v>
      </c>
      <c r="G10" s="1">
        <f t="shared" si="1"/>
        <v>482846</v>
      </c>
      <c r="H10" s="12">
        <v>347992</v>
      </c>
      <c r="I10" s="12">
        <v>141068</v>
      </c>
      <c r="J10" s="11">
        <f t="shared" si="2"/>
        <v>489060</v>
      </c>
      <c r="K10" s="2">
        <v>346729</v>
      </c>
      <c r="L10" s="2">
        <v>140846</v>
      </c>
      <c r="M10" s="1">
        <f t="shared" si="3"/>
        <v>487575</v>
      </c>
      <c r="N10" s="12">
        <v>347111</v>
      </c>
      <c r="O10" s="12">
        <v>140834</v>
      </c>
      <c r="P10" s="11">
        <f t="shared" si="4"/>
        <v>487945</v>
      </c>
      <c r="Q10" s="2">
        <v>348156</v>
      </c>
      <c r="R10" s="2">
        <v>142785</v>
      </c>
      <c r="S10" s="1">
        <f t="shared" si="5"/>
        <v>490941</v>
      </c>
      <c r="T10" s="12">
        <v>345339</v>
      </c>
      <c r="U10" s="12">
        <v>141067</v>
      </c>
      <c r="V10" s="11">
        <f t="shared" si="6"/>
        <v>486406</v>
      </c>
      <c r="W10" s="2">
        <v>347180</v>
      </c>
      <c r="X10" s="2">
        <v>140688</v>
      </c>
      <c r="Y10" s="1">
        <f t="shared" si="7"/>
        <v>487868</v>
      </c>
      <c r="Z10" s="12">
        <v>347279</v>
      </c>
      <c r="AA10" s="12">
        <v>141600</v>
      </c>
      <c r="AB10" s="11">
        <f t="shared" si="8"/>
        <v>488879</v>
      </c>
      <c r="AC10" s="2">
        <v>346748</v>
      </c>
      <c r="AD10" s="2">
        <v>142287</v>
      </c>
      <c r="AE10" s="1">
        <f t="shared" si="9"/>
        <v>489035</v>
      </c>
    </row>
    <row r="11" spans="1:40" x14ac:dyDescent="0.25">
      <c r="A11" s="1">
        <v>9</v>
      </c>
      <c r="B11" s="11">
        <v>346700</v>
      </c>
      <c r="C11" s="11">
        <v>140957</v>
      </c>
      <c r="D11" s="11">
        <f t="shared" si="0"/>
        <v>487657</v>
      </c>
      <c r="E11" s="2">
        <v>346448</v>
      </c>
      <c r="F11" s="2">
        <v>141257</v>
      </c>
      <c r="G11" s="1">
        <f t="shared" si="1"/>
        <v>487705</v>
      </c>
      <c r="H11" s="12">
        <v>346669</v>
      </c>
      <c r="I11" s="12">
        <v>143068</v>
      </c>
      <c r="J11" s="11">
        <f t="shared" si="2"/>
        <v>489737</v>
      </c>
      <c r="K11" s="2">
        <v>347264</v>
      </c>
      <c r="L11" s="2">
        <v>140497</v>
      </c>
      <c r="M11" s="1">
        <f t="shared" si="3"/>
        <v>487761</v>
      </c>
      <c r="N11" s="12">
        <v>347162</v>
      </c>
      <c r="O11" s="12">
        <v>141206</v>
      </c>
      <c r="P11" s="11">
        <f t="shared" si="4"/>
        <v>488368</v>
      </c>
      <c r="Q11" s="2">
        <v>354516</v>
      </c>
      <c r="R11" s="2">
        <v>140528</v>
      </c>
      <c r="S11" s="1">
        <f t="shared" si="5"/>
        <v>495044</v>
      </c>
      <c r="T11" s="12">
        <v>347185</v>
      </c>
      <c r="U11" s="12">
        <v>141895</v>
      </c>
      <c r="V11" s="11">
        <f t="shared" si="6"/>
        <v>489080</v>
      </c>
      <c r="W11" s="2">
        <v>346437</v>
      </c>
      <c r="X11" s="2">
        <v>143967</v>
      </c>
      <c r="Y11" s="1">
        <f t="shared" si="7"/>
        <v>490404</v>
      </c>
      <c r="Z11" s="12">
        <v>346587</v>
      </c>
      <c r="AA11" s="12">
        <v>142612</v>
      </c>
      <c r="AB11" s="11">
        <f t="shared" si="8"/>
        <v>489199</v>
      </c>
      <c r="AC11" s="2">
        <v>347212</v>
      </c>
      <c r="AD11" s="2">
        <v>141078</v>
      </c>
      <c r="AE11" s="1">
        <f t="shared" si="9"/>
        <v>488290</v>
      </c>
    </row>
    <row r="12" spans="1:40" x14ac:dyDescent="0.25">
      <c r="A12" s="1">
        <v>10</v>
      </c>
      <c r="B12" s="11">
        <v>349164</v>
      </c>
      <c r="C12" s="11">
        <v>141909</v>
      </c>
      <c r="D12" s="11">
        <f t="shared" si="0"/>
        <v>491073</v>
      </c>
      <c r="E12" s="2">
        <v>346712</v>
      </c>
      <c r="F12" s="2">
        <v>140872</v>
      </c>
      <c r="G12" s="1">
        <f t="shared" si="1"/>
        <v>487584</v>
      </c>
      <c r="H12" s="12">
        <v>347762</v>
      </c>
      <c r="I12" s="12">
        <v>140300</v>
      </c>
      <c r="J12" s="11">
        <f t="shared" si="2"/>
        <v>488062</v>
      </c>
      <c r="K12" s="2">
        <v>347382</v>
      </c>
      <c r="L12" s="2">
        <v>143003</v>
      </c>
      <c r="M12" s="1">
        <f t="shared" si="3"/>
        <v>490385</v>
      </c>
      <c r="N12" s="12">
        <v>347139</v>
      </c>
      <c r="O12" s="12">
        <v>140219</v>
      </c>
      <c r="P12" s="11">
        <f t="shared" si="4"/>
        <v>487358</v>
      </c>
      <c r="Q12" s="2">
        <v>348235</v>
      </c>
      <c r="R12" s="2">
        <v>139519</v>
      </c>
      <c r="S12" s="1">
        <f t="shared" si="5"/>
        <v>487754</v>
      </c>
      <c r="T12" s="12">
        <v>347181</v>
      </c>
      <c r="U12" s="12">
        <v>142446</v>
      </c>
      <c r="V12" s="11">
        <f t="shared" si="6"/>
        <v>489627</v>
      </c>
      <c r="W12" s="2">
        <v>340617</v>
      </c>
      <c r="X12" s="2">
        <v>139468</v>
      </c>
      <c r="Y12" s="1">
        <f t="shared" si="7"/>
        <v>480085</v>
      </c>
      <c r="Z12" s="12">
        <v>346798</v>
      </c>
      <c r="AA12" s="12">
        <v>140543</v>
      </c>
      <c r="AB12" s="11">
        <f t="shared" si="8"/>
        <v>487341</v>
      </c>
      <c r="AC12" s="2">
        <v>347490</v>
      </c>
      <c r="AD12" s="2">
        <v>142215</v>
      </c>
      <c r="AE12" s="1">
        <f t="shared" si="9"/>
        <v>489705</v>
      </c>
    </row>
    <row r="13" spans="1:40" x14ac:dyDescent="0.25">
      <c r="A13" s="1">
        <v>11</v>
      </c>
      <c r="B13" s="11">
        <v>346322</v>
      </c>
      <c r="C13" s="11">
        <v>140938</v>
      </c>
      <c r="D13" s="11">
        <f t="shared" si="0"/>
        <v>487260</v>
      </c>
      <c r="E13" s="2">
        <v>346073</v>
      </c>
      <c r="F13" s="2">
        <v>139925</v>
      </c>
      <c r="G13" s="1">
        <f t="shared" si="1"/>
        <v>485998</v>
      </c>
      <c r="H13" s="12">
        <v>346560</v>
      </c>
      <c r="I13" s="12">
        <v>139463</v>
      </c>
      <c r="J13" s="11">
        <f t="shared" si="2"/>
        <v>486023</v>
      </c>
      <c r="K13" s="2">
        <v>340309</v>
      </c>
      <c r="L13" s="2">
        <v>142740</v>
      </c>
      <c r="M13" s="1">
        <f t="shared" si="3"/>
        <v>483049</v>
      </c>
      <c r="N13" s="12">
        <v>346713</v>
      </c>
      <c r="O13" s="12">
        <v>139909</v>
      </c>
      <c r="P13" s="11">
        <f t="shared" si="4"/>
        <v>486622</v>
      </c>
      <c r="Q13" s="2">
        <v>347724</v>
      </c>
      <c r="R13" s="2">
        <v>140955</v>
      </c>
      <c r="S13" s="1">
        <f t="shared" si="5"/>
        <v>488679</v>
      </c>
      <c r="T13" s="12">
        <v>347326</v>
      </c>
      <c r="U13" s="12">
        <v>140094</v>
      </c>
      <c r="V13" s="11">
        <f t="shared" si="6"/>
        <v>487420</v>
      </c>
      <c r="W13" s="2">
        <v>347093</v>
      </c>
      <c r="X13" s="2">
        <v>141287</v>
      </c>
      <c r="Y13" s="1">
        <f t="shared" si="7"/>
        <v>488380</v>
      </c>
      <c r="Z13" s="12">
        <v>346671</v>
      </c>
      <c r="AA13" s="12">
        <v>142410</v>
      </c>
      <c r="AB13" s="11">
        <f t="shared" si="8"/>
        <v>489081</v>
      </c>
      <c r="AC13" s="2">
        <v>347329</v>
      </c>
      <c r="AD13" s="2">
        <v>140142</v>
      </c>
      <c r="AE13" s="1">
        <f t="shared" si="9"/>
        <v>487471</v>
      </c>
    </row>
    <row r="14" spans="1:40" x14ac:dyDescent="0.25">
      <c r="A14" s="1">
        <v>12</v>
      </c>
      <c r="B14" s="11">
        <v>347726</v>
      </c>
      <c r="C14" s="11">
        <v>139687</v>
      </c>
      <c r="D14" s="11">
        <f t="shared" si="0"/>
        <v>487413</v>
      </c>
      <c r="E14" s="2">
        <v>339784</v>
      </c>
      <c r="F14" s="2">
        <v>141515</v>
      </c>
      <c r="G14" s="1">
        <f t="shared" si="1"/>
        <v>481299</v>
      </c>
      <c r="H14" s="12">
        <v>339600</v>
      </c>
      <c r="I14" s="12">
        <v>141338</v>
      </c>
      <c r="J14" s="11">
        <f t="shared" si="2"/>
        <v>480938</v>
      </c>
      <c r="K14" s="2">
        <v>347080</v>
      </c>
      <c r="L14" s="2">
        <v>141070</v>
      </c>
      <c r="M14" s="1">
        <f t="shared" si="3"/>
        <v>488150</v>
      </c>
      <c r="N14" s="12">
        <v>340511</v>
      </c>
      <c r="O14" s="12">
        <v>140443</v>
      </c>
      <c r="P14" s="11">
        <f t="shared" si="4"/>
        <v>480954</v>
      </c>
      <c r="Q14" s="2">
        <v>347845</v>
      </c>
      <c r="R14" s="2">
        <v>141593</v>
      </c>
      <c r="S14" s="1">
        <f t="shared" si="5"/>
        <v>489438</v>
      </c>
      <c r="T14" s="12">
        <v>348404</v>
      </c>
      <c r="U14" s="12">
        <v>143699</v>
      </c>
      <c r="V14" s="11">
        <f t="shared" si="6"/>
        <v>492103</v>
      </c>
      <c r="W14" s="2">
        <v>347068</v>
      </c>
      <c r="X14" s="2">
        <v>144384</v>
      </c>
      <c r="Y14" s="1">
        <f t="shared" si="7"/>
        <v>491452</v>
      </c>
      <c r="Z14" s="12">
        <v>348706</v>
      </c>
      <c r="AA14" s="12">
        <v>140431</v>
      </c>
      <c r="AB14" s="11">
        <f t="shared" si="8"/>
        <v>489137</v>
      </c>
      <c r="AC14" s="2">
        <v>347302</v>
      </c>
      <c r="AD14" s="2">
        <v>140448</v>
      </c>
      <c r="AE14" s="1">
        <f t="shared" si="9"/>
        <v>487750</v>
      </c>
    </row>
    <row r="15" spans="1:40" x14ac:dyDescent="0.25">
      <c r="A15" s="1">
        <v>13</v>
      </c>
      <c r="B15" s="11">
        <v>345310</v>
      </c>
      <c r="C15" s="11">
        <v>139667</v>
      </c>
      <c r="D15" s="11">
        <f t="shared" si="0"/>
        <v>484977</v>
      </c>
      <c r="E15" s="2">
        <v>346463</v>
      </c>
      <c r="F15" s="2">
        <v>141155</v>
      </c>
      <c r="G15" s="1">
        <f t="shared" si="1"/>
        <v>487618</v>
      </c>
      <c r="H15" s="12">
        <v>342966</v>
      </c>
      <c r="I15" s="12">
        <v>139370</v>
      </c>
      <c r="J15" s="11">
        <f t="shared" si="2"/>
        <v>482336</v>
      </c>
      <c r="K15" s="2">
        <v>347156</v>
      </c>
      <c r="L15" s="2">
        <v>141222</v>
      </c>
      <c r="M15" s="1">
        <f t="shared" si="3"/>
        <v>488378</v>
      </c>
      <c r="N15" s="12">
        <v>347182</v>
      </c>
      <c r="O15" s="12">
        <v>141929</v>
      </c>
      <c r="P15" s="11">
        <f t="shared" si="4"/>
        <v>489111</v>
      </c>
      <c r="Q15" s="2">
        <v>341584</v>
      </c>
      <c r="R15" s="2">
        <v>142764</v>
      </c>
      <c r="S15" s="1">
        <f t="shared" si="5"/>
        <v>484348</v>
      </c>
      <c r="T15" s="12">
        <v>347266</v>
      </c>
      <c r="U15" s="12">
        <v>141215</v>
      </c>
      <c r="V15" s="11">
        <f t="shared" si="6"/>
        <v>488481</v>
      </c>
      <c r="W15" s="2">
        <v>341817</v>
      </c>
      <c r="X15" s="2">
        <v>141892</v>
      </c>
      <c r="Y15" s="1">
        <f t="shared" si="7"/>
        <v>483709</v>
      </c>
      <c r="Z15" s="12">
        <v>347252</v>
      </c>
      <c r="AA15" s="12">
        <v>140710</v>
      </c>
      <c r="AB15" s="11">
        <f t="shared" si="8"/>
        <v>487962</v>
      </c>
      <c r="AC15" s="2">
        <v>347185</v>
      </c>
      <c r="AD15" s="2">
        <v>141815</v>
      </c>
      <c r="AE15" s="1">
        <f t="shared" si="9"/>
        <v>489000</v>
      </c>
    </row>
    <row r="16" spans="1:40" x14ac:dyDescent="0.25">
      <c r="A16" s="1">
        <v>14</v>
      </c>
      <c r="B16" s="11">
        <v>346947</v>
      </c>
      <c r="C16" s="11">
        <v>141062</v>
      </c>
      <c r="D16" s="11">
        <f t="shared" si="0"/>
        <v>488009</v>
      </c>
      <c r="E16" s="2">
        <v>344677</v>
      </c>
      <c r="F16" s="2">
        <v>142212</v>
      </c>
      <c r="G16" s="1">
        <f t="shared" si="1"/>
        <v>486889</v>
      </c>
      <c r="H16" s="12">
        <v>349568</v>
      </c>
      <c r="I16" s="12">
        <v>140257</v>
      </c>
      <c r="J16" s="11">
        <f t="shared" si="2"/>
        <v>489825</v>
      </c>
      <c r="K16" s="2">
        <v>339733</v>
      </c>
      <c r="L16" s="2">
        <v>142219</v>
      </c>
      <c r="M16" s="1">
        <f t="shared" si="3"/>
        <v>481952</v>
      </c>
      <c r="N16" s="12">
        <v>346761</v>
      </c>
      <c r="O16" s="12">
        <v>141678</v>
      </c>
      <c r="P16" s="11">
        <f t="shared" si="4"/>
        <v>488439</v>
      </c>
      <c r="Q16" s="2">
        <v>344892</v>
      </c>
      <c r="R16" s="2">
        <v>141982</v>
      </c>
      <c r="S16" s="1">
        <f t="shared" si="5"/>
        <v>486874</v>
      </c>
      <c r="T16" s="12">
        <v>347246</v>
      </c>
      <c r="U16" s="12">
        <v>141312</v>
      </c>
      <c r="V16" s="11">
        <f t="shared" si="6"/>
        <v>488558</v>
      </c>
      <c r="W16" s="2">
        <v>347384</v>
      </c>
      <c r="X16" s="2">
        <v>141200</v>
      </c>
      <c r="Y16" s="1">
        <f t="shared" si="7"/>
        <v>488584</v>
      </c>
      <c r="Z16" s="12">
        <v>347240</v>
      </c>
      <c r="AA16" s="12">
        <v>140479</v>
      </c>
      <c r="AB16" s="11">
        <f t="shared" si="8"/>
        <v>487719</v>
      </c>
      <c r="AC16" s="2">
        <v>351982</v>
      </c>
      <c r="AD16" s="2">
        <v>141329</v>
      </c>
      <c r="AE16" s="1">
        <f t="shared" si="9"/>
        <v>493311</v>
      </c>
    </row>
    <row r="17" spans="1:31" x14ac:dyDescent="0.25">
      <c r="A17" s="1">
        <v>15</v>
      </c>
      <c r="B17" s="11">
        <v>348001</v>
      </c>
      <c r="C17" s="11">
        <v>139560</v>
      </c>
      <c r="D17" s="11">
        <f t="shared" si="0"/>
        <v>487561</v>
      </c>
      <c r="E17" s="2">
        <v>339323</v>
      </c>
      <c r="F17" s="2">
        <v>142089</v>
      </c>
      <c r="G17" s="1">
        <f t="shared" si="1"/>
        <v>481412</v>
      </c>
      <c r="H17" s="12">
        <v>347761</v>
      </c>
      <c r="I17" s="12">
        <v>140115</v>
      </c>
      <c r="J17" s="11">
        <f t="shared" si="2"/>
        <v>487876</v>
      </c>
      <c r="K17" s="2">
        <v>347154</v>
      </c>
      <c r="L17" s="2">
        <v>143462</v>
      </c>
      <c r="M17" s="1">
        <f t="shared" si="3"/>
        <v>490616</v>
      </c>
      <c r="N17" s="12">
        <v>347242</v>
      </c>
      <c r="O17" s="12">
        <v>142134</v>
      </c>
      <c r="P17" s="11">
        <f t="shared" si="4"/>
        <v>489376</v>
      </c>
      <c r="Q17" s="2">
        <v>348231</v>
      </c>
      <c r="R17" s="2">
        <v>141113</v>
      </c>
      <c r="S17" s="1">
        <f t="shared" si="5"/>
        <v>489344</v>
      </c>
      <c r="T17" s="12">
        <v>347340</v>
      </c>
      <c r="U17" s="12">
        <v>141385</v>
      </c>
      <c r="V17" s="11">
        <f t="shared" si="6"/>
        <v>488725</v>
      </c>
      <c r="W17" s="2">
        <v>347652</v>
      </c>
      <c r="X17" s="2">
        <v>141237</v>
      </c>
      <c r="Y17" s="1">
        <f t="shared" si="7"/>
        <v>488889</v>
      </c>
      <c r="Z17" s="12">
        <v>350821</v>
      </c>
      <c r="AA17" s="12">
        <v>143010</v>
      </c>
      <c r="AB17" s="11">
        <f t="shared" si="8"/>
        <v>493831</v>
      </c>
      <c r="AC17" s="2">
        <v>347021</v>
      </c>
      <c r="AD17" s="2">
        <v>141990</v>
      </c>
      <c r="AE17" s="1">
        <f t="shared" si="9"/>
        <v>489011</v>
      </c>
    </row>
    <row r="18" spans="1:31" x14ac:dyDescent="0.25">
      <c r="A18" s="1">
        <v>16</v>
      </c>
      <c r="B18" s="11">
        <v>340971</v>
      </c>
      <c r="C18" s="11">
        <v>141390</v>
      </c>
      <c r="D18" s="11">
        <f t="shared" si="0"/>
        <v>482361</v>
      </c>
      <c r="E18" s="2">
        <v>349616</v>
      </c>
      <c r="F18" s="2">
        <v>140644</v>
      </c>
      <c r="G18" s="1">
        <f t="shared" si="1"/>
        <v>490260</v>
      </c>
      <c r="H18" s="12">
        <v>342286</v>
      </c>
      <c r="I18" s="12">
        <v>139569</v>
      </c>
      <c r="J18" s="11">
        <f t="shared" si="2"/>
        <v>481855</v>
      </c>
      <c r="K18" s="2">
        <v>338468</v>
      </c>
      <c r="L18" s="2">
        <v>140507</v>
      </c>
      <c r="M18" s="1">
        <f t="shared" si="3"/>
        <v>478975</v>
      </c>
      <c r="N18" s="12">
        <v>347335</v>
      </c>
      <c r="O18" s="12">
        <v>140389</v>
      </c>
      <c r="P18" s="11">
        <f t="shared" si="4"/>
        <v>487724</v>
      </c>
      <c r="Q18" s="2">
        <v>348286</v>
      </c>
      <c r="R18" s="2">
        <v>140518</v>
      </c>
      <c r="S18" s="1">
        <f t="shared" si="5"/>
        <v>488804</v>
      </c>
      <c r="T18" s="12">
        <v>347389</v>
      </c>
      <c r="U18" s="12">
        <v>143244</v>
      </c>
      <c r="V18" s="11">
        <f t="shared" si="6"/>
        <v>490633</v>
      </c>
      <c r="W18" s="2">
        <v>347018</v>
      </c>
      <c r="X18" s="2">
        <v>143059</v>
      </c>
      <c r="Y18" s="1">
        <f t="shared" si="7"/>
        <v>490077</v>
      </c>
      <c r="Z18" s="12">
        <v>339184</v>
      </c>
      <c r="AA18" s="12">
        <v>141792</v>
      </c>
      <c r="AB18" s="11">
        <f t="shared" si="8"/>
        <v>480976</v>
      </c>
      <c r="AC18" s="2">
        <v>349903</v>
      </c>
      <c r="AD18" s="2">
        <v>143729</v>
      </c>
      <c r="AE18" s="1">
        <f t="shared" si="9"/>
        <v>493632</v>
      </c>
    </row>
    <row r="19" spans="1:31" x14ac:dyDescent="0.25">
      <c r="A19" s="1">
        <v>17</v>
      </c>
      <c r="B19" s="11">
        <v>348028</v>
      </c>
      <c r="C19" s="11">
        <v>139956</v>
      </c>
      <c r="D19" s="11">
        <f t="shared" si="0"/>
        <v>487984</v>
      </c>
      <c r="E19" s="2">
        <v>347325</v>
      </c>
      <c r="F19" s="2">
        <v>139778</v>
      </c>
      <c r="G19" s="1">
        <f t="shared" si="1"/>
        <v>487103</v>
      </c>
      <c r="H19" s="12">
        <v>347242</v>
      </c>
      <c r="I19" s="12">
        <v>140135</v>
      </c>
      <c r="J19" s="11">
        <f t="shared" si="2"/>
        <v>487377</v>
      </c>
      <c r="K19" s="2">
        <v>346916</v>
      </c>
      <c r="L19" s="2">
        <v>140702</v>
      </c>
      <c r="M19" s="1">
        <f t="shared" si="3"/>
        <v>487618</v>
      </c>
      <c r="N19" s="12">
        <v>347154</v>
      </c>
      <c r="O19" s="12">
        <v>142535</v>
      </c>
      <c r="P19" s="11">
        <f t="shared" si="4"/>
        <v>489689</v>
      </c>
      <c r="Q19" s="2">
        <v>347321</v>
      </c>
      <c r="R19" s="2">
        <v>141366</v>
      </c>
      <c r="S19" s="1">
        <f t="shared" si="5"/>
        <v>488687</v>
      </c>
      <c r="T19" s="12">
        <v>346881</v>
      </c>
      <c r="U19" s="12">
        <v>141999</v>
      </c>
      <c r="V19" s="11">
        <f t="shared" si="6"/>
        <v>488880</v>
      </c>
      <c r="W19" s="2">
        <v>347219</v>
      </c>
      <c r="X19" s="2">
        <v>142735</v>
      </c>
      <c r="Y19" s="1">
        <f t="shared" si="7"/>
        <v>489954</v>
      </c>
      <c r="Z19" s="12">
        <v>346655</v>
      </c>
      <c r="AA19" s="12">
        <v>141382</v>
      </c>
      <c r="AB19" s="11">
        <f t="shared" si="8"/>
        <v>488037</v>
      </c>
      <c r="AC19" s="2">
        <v>347401</v>
      </c>
      <c r="AD19" s="2">
        <v>140525</v>
      </c>
      <c r="AE19" s="1">
        <f t="shared" si="9"/>
        <v>487926</v>
      </c>
    </row>
    <row r="20" spans="1:31" x14ac:dyDescent="0.25">
      <c r="A20" s="1">
        <v>18</v>
      </c>
      <c r="B20" s="11">
        <v>347991</v>
      </c>
      <c r="C20" s="11">
        <v>139401</v>
      </c>
      <c r="D20" s="11">
        <f t="shared" si="0"/>
        <v>487392</v>
      </c>
      <c r="E20" s="2">
        <v>346665</v>
      </c>
      <c r="F20" s="2">
        <v>140758</v>
      </c>
      <c r="G20" s="1">
        <f t="shared" si="1"/>
        <v>487423</v>
      </c>
      <c r="H20" s="12">
        <v>348248</v>
      </c>
      <c r="I20" s="12">
        <v>140802</v>
      </c>
      <c r="J20" s="11">
        <f t="shared" si="2"/>
        <v>489050</v>
      </c>
      <c r="K20" s="2">
        <v>346907</v>
      </c>
      <c r="L20" s="2">
        <v>141741</v>
      </c>
      <c r="M20" s="1">
        <f t="shared" si="3"/>
        <v>488648</v>
      </c>
      <c r="N20" s="12">
        <v>347053</v>
      </c>
      <c r="O20" s="12">
        <v>141401</v>
      </c>
      <c r="P20" s="11">
        <f t="shared" si="4"/>
        <v>488454</v>
      </c>
      <c r="Q20" s="2">
        <v>347102</v>
      </c>
      <c r="R20" s="2">
        <v>139875</v>
      </c>
      <c r="S20" s="1">
        <f t="shared" si="5"/>
        <v>486977</v>
      </c>
      <c r="T20" s="12">
        <v>347331</v>
      </c>
      <c r="U20" s="12">
        <v>140873</v>
      </c>
      <c r="V20" s="11">
        <f t="shared" si="6"/>
        <v>488204</v>
      </c>
      <c r="W20" s="2">
        <v>347150</v>
      </c>
      <c r="X20" s="2">
        <v>141378</v>
      </c>
      <c r="Y20" s="1">
        <f t="shared" si="7"/>
        <v>488528</v>
      </c>
      <c r="Z20" s="12">
        <v>347584</v>
      </c>
      <c r="AA20" s="12">
        <v>143883</v>
      </c>
      <c r="AB20" s="11">
        <f t="shared" si="8"/>
        <v>491467</v>
      </c>
      <c r="AC20" s="2">
        <v>347770</v>
      </c>
      <c r="AD20" s="2">
        <v>141016</v>
      </c>
      <c r="AE20" s="1">
        <f t="shared" si="9"/>
        <v>488786</v>
      </c>
    </row>
    <row r="21" spans="1:31" x14ac:dyDescent="0.25">
      <c r="A21" s="1">
        <v>19</v>
      </c>
      <c r="B21" s="11">
        <v>348778</v>
      </c>
      <c r="C21" s="11">
        <v>141073</v>
      </c>
      <c r="D21" s="11">
        <f t="shared" si="0"/>
        <v>489851</v>
      </c>
      <c r="E21" s="2">
        <v>344716</v>
      </c>
      <c r="F21" s="2">
        <v>139534</v>
      </c>
      <c r="G21" s="1">
        <f t="shared" si="1"/>
        <v>484250</v>
      </c>
      <c r="H21" s="12">
        <v>349843</v>
      </c>
      <c r="I21" s="12">
        <v>139069</v>
      </c>
      <c r="J21" s="11">
        <f t="shared" si="2"/>
        <v>488912</v>
      </c>
      <c r="K21" s="2">
        <v>346951</v>
      </c>
      <c r="L21" s="2">
        <v>141982</v>
      </c>
      <c r="M21" s="1">
        <f t="shared" si="3"/>
        <v>488933</v>
      </c>
      <c r="N21" s="12">
        <v>347113</v>
      </c>
      <c r="O21" s="12">
        <v>140985</v>
      </c>
      <c r="P21" s="11">
        <f t="shared" si="4"/>
        <v>488098</v>
      </c>
      <c r="Q21" s="2">
        <v>347072</v>
      </c>
      <c r="R21" s="2">
        <v>141467</v>
      </c>
      <c r="S21" s="1">
        <f t="shared" si="5"/>
        <v>488539</v>
      </c>
      <c r="T21" s="12">
        <v>347675</v>
      </c>
      <c r="U21" s="12">
        <v>141610</v>
      </c>
      <c r="V21" s="11">
        <f t="shared" si="6"/>
        <v>489285</v>
      </c>
      <c r="W21" s="2">
        <v>347203</v>
      </c>
      <c r="X21" s="2">
        <v>143293</v>
      </c>
      <c r="Y21" s="1">
        <f t="shared" si="7"/>
        <v>490496</v>
      </c>
      <c r="Z21" s="12">
        <v>347717</v>
      </c>
      <c r="AA21" s="12">
        <v>141433</v>
      </c>
      <c r="AB21" s="11">
        <f t="shared" si="8"/>
        <v>489150</v>
      </c>
      <c r="AC21" s="2">
        <v>345339</v>
      </c>
      <c r="AD21" s="2">
        <v>141677</v>
      </c>
      <c r="AE21" s="1">
        <f t="shared" si="9"/>
        <v>487016</v>
      </c>
    </row>
    <row r="22" spans="1:31" x14ac:dyDescent="0.25">
      <c r="A22" s="1">
        <v>20</v>
      </c>
      <c r="B22" s="11">
        <v>342282</v>
      </c>
      <c r="C22" s="11">
        <v>141141</v>
      </c>
      <c r="D22" s="11">
        <f t="shared" si="0"/>
        <v>483423</v>
      </c>
      <c r="E22" s="2">
        <v>345691</v>
      </c>
      <c r="F22" s="2">
        <v>142089</v>
      </c>
      <c r="G22" s="1">
        <f t="shared" si="1"/>
        <v>487780</v>
      </c>
      <c r="H22" s="12">
        <v>348077</v>
      </c>
      <c r="I22" s="12">
        <v>139518</v>
      </c>
      <c r="J22" s="11">
        <f t="shared" si="2"/>
        <v>487595</v>
      </c>
      <c r="K22" s="2">
        <v>346713</v>
      </c>
      <c r="L22" s="2">
        <v>141652</v>
      </c>
      <c r="M22" s="1">
        <f t="shared" si="3"/>
        <v>488365</v>
      </c>
      <c r="N22" s="12">
        <v>347010</v>
      </c>
      <c r="O22" s="12">
        <v>142023</v>
      </c>
      <c r="P22" s="11">
        <f t="shared" si="4"/>
        <v>489033</v>
      </c>
      <c r="Q22" s="2">
        <v>347129</v>
      </c>
      <c r="R22" s="2">
        <v>142006</v>
      </c>
      <c r="S22" s="1">
        <f t="shared" si="5"/>
        <v>489135</v>
      </c>
      <c r="T22" s="12">
        <v>347167</v>
      </c>
      <c r="U22" s="12">
        <v>143103</v>
      </c>
      <c r="V22" s="11">
        <f t="shared" si="6"/>
        <v>490270</v>
      </c>
      <c r="W22" s="2">
        <v>347382</v>
      </c>
      <c r="X22" s="2">
        <v>141500</v>
      </c>
      <c r="Y22" s="1">
        <f t="shared" si="7"/>
        <v>488882</v>
      </c>
      <c r="Z22" s="12">
        <v>347017</v>
      </c>
      <c r="AA22" s="12">
        <v>141251</v>
      </c>
      <c r="AB22" s="11">
        <f t="shared" si="8"/>
        <v>488268</v>
      </c>
      <c r="AC22" s="2">
        <v>347221</v>
      </c>
      <c r="AD22" s="2">
        <v>141941</v>
      </c>
      <c r="AE22" s="1">
        <f t="shared" si="9"/>
        <v>489162</v>
      </c>
    </row>
    <row r="23" spans="1:31" x14ac:dyDescent="0.25">
      <c r="A23" s="1">
        <v>21</v>
      </c>
      <c r="B23" s="11">
        <v>349249</v>
      </c>
      <c r="C23" s="11">
        <v>139548</v>
      </c>
      <c r="D23" s="11">
        <f t="shared" si="0"/>
        <v>488797</v>
      </c>
      <c r="E23" s="2">
        <v>346553</v>
      </c>
      <c r="F23" s="2">
        <v>140818</v>
      </c>
      <c r="G23" s="1">
        <f t="shared" si="1"/>
        <v>487371</v>
      </c>
      <c r="H23" s="12">
        <v>348903</v>
      </c>
      <c r="I23" s="12">
        <v>140761</v>
      </c>
      <c r="J23" s="11">
        <f t="shared" si="2"/>
        <v>489664</v>
      </c>
      <c r="K23" s="2">
        <v>347823</v>
      </c>
      <c r="L23" s="2">
        <v>142585</v>
      </c>
      <c r="M23" s="1">
        <f t="shared" si="3"/>
        <v>490408</v>
      </c>
      <c r="N23" s="12">
        <v>346984</v>
      </c>
      <c r="O23" s="12">
        <v>141377</v>
      </c>
      <c r="P23" s="11">
        <f t="shared" si="4"/>
        <v>488361</v>
      </c>
      <c r="Q23" s="2">
        <v>347617</v>
      </c>
      <c r="R23" s="2">
        <v>143396</v>
      </c>
      <c r="S23" s="1">
        <f t="shared" si="5"/>
        <v>491013</v>
      </c>
      <c r="T23" s="12">
        <v>347191</v>
      </c>
      <c r="U23" s="12">
        <v>140966</v>
      </c>
      <c r="V23" s="11">
        <f t="shared" si="6"/>
        <v>488157</v>
      </c>
      <c r="W23" s="2">
        <v>347407</v>
      </c>
      <c r="X23" s="2">
        <v>143053</v>
      </c>
      <c r="Y23" s="1">
        <f t="shared" si="7"/>
        <v>490460</v>
      </c>
      <c r="Z23" s="12">
        <v>340970</v>
      </c>
      <c r="AA23" s="12">
        <v>141455</v>
      </c>
      <c r="AB23" s="11">
        <f t="shared" si="8"/>
        <v>482425</v>
      </c>
      <c r="AC23" s="2">
        <v>346979</v>
      </c>
      <c r="AD23" s="2">
        <v>140335</v>
      </c>
      <c r="AE23" s="1">
        <f t="shared" si="9"/>
        <v>487314</v>
      </c>
    </row>
    <row r="24" spans="1:31" x14ac:dyDescent="0.25">
      <c r="A24" s="1">
        <v>22</v>
      </c>
      <c r="B24" s="11">
        <v>340813</v>
      </c>
      <c r="C24" s="11">
        <v>141505</v>
      </c>
      <c r="D24" s="11">
        <f t="shared" si="0"/>
        <v>482318</v>
      </c>
      <c r="E24" s="2">
        <v>346538</v>
      </c>
      <c r="F24" s="2">
        <v>142571</v>
      </c>
      <c r="G24" s="1">
        <f t="shared" si="1"/>
        <v>489109</v>
      </c>
      <c r="H24" s="12">
        <v>347295</v>
      </c>
      <c r="I24" s="12">
        <v>140738</v>
      </c>
      <c r="J24" s="11">
        <f t="shared" si="2"/>
        <v>488033</v>
      </c>
      <c r="K24" s="2">
        <v>347553</v>
      </c>
      <c r="L24" s="2">
        <v>142518</v>
      </c>
      <c r="M24" s="1">
        <f t="shared" si="3"/>
        <v>490071</v>
      </c>
      <c r="N24" s="12">
        <v>347223</v>
      </c>
      <c r="O24" s="12">
        <v>141505</v>
      </c>
      <c r="P24" s="11">
        <f t="shared" si="4"/>
        <v>488728</v>
      </c>
      <c r="Q24" s="2">
        <v>345847</v>
      </c>
      <c r="R24" s="2">
        <v>140138</v>
      </c>
      <c r="S24" s="1">
        <f t="shared" si="5"/>
        <v>485985</v>
      </c>
      <c r="T24" s="12">
        <v>340581</v>
      </c>
      <c r="U24" s="12">
        <v>141558</v>
      </c>
      <c r="V24" s="11">
        <f t="shared" si="6"/>
        <v>482139</v>
      </c>
      <c r="W24" s="2">
        <v>348342</v>
      </c>
      <c r="X24" s="2">
        <v>141021</v>
      </c>
      <c r="Y24" s="1">
        <f t="shared" si="7"/>
        <v>489363</v>
      </c>
      <c r="Z24" s="12">
        <v>339627</v>
      </c>
      <c r="AA24" s="12">
        <v>142131</v>
      </c>
      <c r="AB24" s="11">
        <f t="shared" si="8"/>
        <v>481758</v>
      </c>
      <c r="AC24" s="2">
        <v>347345</v>
      </c>
      <c r="AD24" s="2">
        <v>140717</v>
      </c>
      <c r="AE24" s="1">
        <f t="shared" si="9"/>
        <v>488062</v>
      </c>
    </row>
    <row r="25" spans="1:31" x14ac:dyDescent="0.25">
      <c r="A25" s="1">
        <v>23</v>
      </c>
      <c r="B25" s="11">
        <v>348272</v>
      </c>
      <c r="C25" s="11">
        <v>140032</v>
      </c>
      <c r="D25" s="11">
        <f t="shared" si="0"/>
        <v>488304</v>
      </c>
      <c r="E25" s="2">
        <v>346499</v>
      </c>
      <c r="F25" s="2">
        <v>141456</v>
      </c>
      <c r="G25" s="1">
        <f t="shared" si="1"/>
        <v>487955</v>
      </c>
      <c r="H25" s="12">
        <v>348051</v>
      </c>
      <c r="I25" s="12">
        <v>144816</v>
      </c>
      <c r="J25" s="11">
        <f t="shared" si="2"/>
        <v>492867</v>
      </c>
      <c r="K25" s="2">
        <v>349058</v>
      </c>
      <c r="L25" s="2">
        <v>141119</v>
      </c>
      <c r="M25" s="1">
        <f t="shared" si="3"/>
        <v>490177</v>
      </c>
      <c r="N25" s="12">
        <v>340799</v>
      </c>
      <c r="O25" s="12">
        <v>141430</v>
      </c>
      <c r="P25" s="11">
        <f t="shared" si="4"/>
        <v>482229</v>
      </c>
      <c r="Q25" s="2">
        <v>347786</v>
      </c>
      <c r="R25" s="2">
        <v>141361</v>
      </c>
      <c r="S25" s="1">
        <f t="shared" si="5"/>
        <v>489147</v>
      </c>
      <c r="T25" s="12">
        <v>346446</v>
      </c>
      <c r="U25" s="12">
        <v>141426</v>
      </c>
      <c r="V25" s="11">
        <f t="shared" si="6"/>
        <v>487872</v>
      </c>
      <c r="W25" s="2">
        <v>347331</v>
      </c>
      <c r="X25" s="2">
        <v>139950</v>
      </c>
      <c r="Y25" s="1">
        <f t="shared" si="7"/>
        <v>487281</v>
      </c>
      <c r="Z25" s="12">
        <v>347341</v>
      </c>
      <c r="AA25" s="12">
        <v>141022</v>
      </c>
      <c r="AB25" s="11">
        <f t="shared" si="8"/>
        <v>488363</v>
      </c>
      <c r="AC25" s="2">
        <v>339307</v>
      </c>
      <c r="AD25" s="2">
        <v>143640</v>
      </c>
      <c r="AE25" s="1">
        <f t="shared" si="9"/>
        <v>482947</v>
      </c>
    </row>
    <row r="26" spans="1:31" x14ac:dyDescent="0.25">
      <c r="A26" s="1">
        <v>24</v>
      </c>
      <c r="B26" s="11">
        <v>347929</v>
      </c>
      <c r="C26" s="11">
        <v>140163</v>
      </c>
      <c r="D26" s="11">
        <f t="shared" si="0"/>
        <v>488092</v>
      </c>
      <c r="E26" s="2">
        <v>339396</v>
      </c>
      <c r="F26" s="2">
        <v>141151</v>
      </c>
      <c r="G26" s="1">
        <f t="shared" si="1"/>
        <v>480547</v>
      </c>
      <c r="H26" s="12">
        <v>349784</v>
      </c>
      <c r="I26" s="12">
        <v>139726</v>
      </c>
      <c r="J26" s="11">
        <f t="shared" si="2"/>
        <v>489510</v>
      </c>
      <c r="K26" s="2">
        <v>343083</v>
      </c>
      <c r="L26" s="2">
        <v>142688</v>
      </c>
      <c r="M26" s="1">
        <f t="shared" si="3"/>
        <v>485771</v>
      </c>
      <c r="N26" s="12">
        <v>348546</v>
      </c>
      <c r="O26" s="12">
        <v>141606</v>
      </c>
      <c r="P26" s="11">
        <f t="shared" si="4"/>
        <v>490152</v>
      </c>
      <c r="Q26" s="2">
        <v>347473</v>
      </c>
      <c r="R26" s="2">
        <v>140878</v>
      </c>
      <c r="S26" s="1">
        <f t="shared" si="5"/>
        <v>488351</v>
      </c>
      <c r="T26" s="12">
        <v>338094</v>
      </c>
      <c r="U26" s="12">
        <v>141658</v>
      </c>
      <c r="V26" s="11">
        <f t="shared" si="6"/>
        <v>479752</v>
      </c>
      <c r="W26" s="2">
        <v>347829</v>
      </c>
      <c r="X26" s="2">
        <v>143024</v>
      </c>
      <c r="Y26" s="1">
        <f t="shared" si="7"/>
        <v>490853</v>
      </c>
      <c r="Z26" s="12">
        <v>347343</v>
      </c>
      <c r="AA26" s="12">
        <v>139911</v>
      </c>
      <c r="AB26" s="11">
        <f t="shared" si="8"/>
        <v>487254</v>
      </c>
      <c r="AC26" s="2">
        <v>347592</v>
      </c>
      <c r="AD26" s="2">
        <v>141132</v>
      </c>
      <c r="AE26" s="1">
        <f t="shared" si="9"/>
        <v>488724</v>
      </c>
    </row>
    <row r="27" spans="1:31" x14ac:dyDescent="0.25">
      <c r="A27" s="8" t="s">
        <v>2</v>
      </c>
      <c r="B27" s="9">
        <f>AVERAGE(B3:B26)</f>
        <v>346471.75</v>
      </c>
      <c r="C27" s="9">
        <f t="shared" ref="C27:AD27" si="10">AVERAGE(C3:C26)</f>
        <v>140576.625</v>
      </c>
      <c r="D27" s="9">
        <f t="shared" si="10"/>
        <v>487048.375</v>
      </c>
      <c r="E27" s="9">
        <f t="shared" si="10"/>
        <v>345292</v>
      </c>
      <c r="F27" s="9">
        <f t="shared" si="10"/>
        <v>141115.04166666666</v>
      </c>
      <c r="G27" s="9">
        <f t="shared" si="10"/>
        <v>486407.04166666669</v>
      </c>
      <c r="H27" s="9">
        <f t="shared" si="10"/>
        <v>347524.33333333331</v>
      </c>
      <c r="I27" s="9">
        <f t="shared" si="10"/>
        <v>140349.125</v>
      </c>
      <c r="J27" s="9">
        <f t="shared" ref="J27" si="11">AVERAGE(J3:J26)</f>
        <v>487873.45833333331</v>
      </c>
      <c r="K27" s="9">
        <f t="shared" si="10"/>
        <v>346046.29166666669</v>
      </c>
      <c r="L27" s="9">
        <f t="shared" si="10"/>
        <v>141762.33333333334</v>
      </c>
      <c r="M27" s="9">
        <f t="shared" ref="M27" si="12">AVERAGE(M3:M26)</f>
        <v>487808.625</v>
      </c>
      <c r="N27" s="9">
        <f t="shared" si="10"/>
        <v>346616.45833333331</v>
      </c>
      <c r="O27" s="9">
        <f t="shared" si="10"/>
        <v>141441.33333333334</v>
      </c>
      <c r="P27" s="9">
        <f t="shared" ref="P27" si="13">AVERAGE(P3:P26)</f>
        <v>488057.79166666669</v>
      </c>
      <c r="Q27" s="9">
        <f t="shared" si="10"/>
        <v>347579.29166666669</v>
      </c>
      <c r="R27" s="9">
        <f t="shared" si="10"/>
        <v>141364.79166666666</v>
      </c>
      <c r="S27" s="9">
        <f t="shared" ref="S27" si="14">AVERAGE(S3:S26)</f>
        <v>488944.08333333331</v>
      </c>
      <c r="T27" s="9">
        <f t="shared" si="10"/>
        <v>346834.16666666669</v>
      </c>
      <c r="U27" s="9">
        <f t="shared" si="10"/>
        <v>141630.95833333334</v>
      </c>
      <c r="V27" s="9">
        <f t="shared" ref="V27" si="15">AVERAGE(V3:V26)</f>
        <v>488465.125</v>
      </c>
      <c r="W27" s="9">
        <f t="shared" si="10"/>
        <v>347104.29166666669</v>
      </c>
      <c r="X27" s="9">
        <f t="shared" si="10"/>
        <v>141812.66666666666</v>
      </c>
      <c r="Y27" s="9">
        <f t="shared" ref="Y27" si="16">AVERAGE(Y3:Y26)</f>
        <v>488916.95833333331</v>
      </c>
      <c r="Z27" s="9">
        <f t="shared" si="10"/>
        <v>346518.375</v>
      </c>
      <c r="AA27" s="9">
        <f t="shared" si="10"/>
        <v>141553.875</v>
      </c>
      <c r="AB27" s="9">
        <f t="shared" ref="AB27" si="17">AVERAGE(AB3:AB26)</f>
        <v>488072.25</v>
      </c>
      <c r="AC27" s="9">
        <f t="shared" si="10"/>
        <v>347093.70833333331</v>
      </c>
      <c r="AD27" s="9">
        <f t="shared" si="10"/>
        <v>141630.625</v>
      </c>
      <c r="AE27" s="9">
        <f t="shared" ref="AE27" si="18">AVERAGE(AE3:AE26)</f>
        <v>488724.33333333331</v>
      </c>
    </row>
    <row r="28" spans="1:31" x14ac:dyDescent="0.25">
      <c r="A28" s="8" t="s">
        <v>7</v>
      </c>
      <c r="B28" s="9">
        <f>_xlfn.STDEV.S(B3:B26)</f>
        <v>2259.3649021062456</v>
      </c>
      <c r="C28" s="9">
        <f t="shared" ref="C28:AD28" si="19">_xlfn.STDEV.S(C3:C26)</f>
        <v>862.53049410491542</v>
      </c>
      <c r="D28" s="9">
        <f>_xlfn.STDEV.S(D3:D26)</f>
        <v>2145.1935518735831</v>
      </c>
      <c r="E28" s="9">
        <f t="shared" si="19"/>
        <v>2764.8621476761141</v>
      </c>
      <c r="F28" s="9">
        <f t="shared" si="19"/>
        <v>947.51507865329631</v>
      </c>
      <c r="G28" s="9">
        <f>_xlfn.STDEV.S(G3:G26)</f>
        <v>2516.7048760176499</v>
      </c>
      <c r="H28" s="9">
        <f t="shared" si="19"/>
        <v>2559.1352083258034</v>
      </c>
      <c r="I28" s="9">
        <f t="shared" si="19"/>
        <v>1303.5002147228854</v>
      </c>
      <c r="J28" s="9">
        <f>_xlfn.STDEV.S(J3:J26)</f>
        <v>2725.1419584749306</v>
      </c>
      <c r="K28" s="9">
        <f t="shared" si="19"/>
        <v>2716.3429456142694</v>
      </c>
      <c r="L28" s="9">
        <f t="shared" si="19"/>
        <v>955.5050413566488</v>
      </c>
      <c r="M28" s="9">
        <f>_xlfn.STDEV.S(M3:M26)</f>
        <v>2843.7664829909309</v>
      </c>
      <c r="N28" s="9">
        <f t="shared" si="19"/>
        <v>2731.7987063657251</v>
      </c>
      <c r="O28" s="9">
        <f t="shared" si="19"/>
        <v>895.96853917333829</v>
      </c>
      <c r="P28" s="9">
        <f>_xlfn.STDEV.S(P3:P26)</f>
        <v>2841.0609619458633</v>
      </c>
      <c r="Q28" s="9">
        <f t="shared" si="19"/>
        <v>2069.3209446824453</v>
      </c>
      <c r="R28" s="9">
        <f t="shared" si="19"/>
        <v>1121.3757846334647</v>
      </c>
      <c r="S28" s="9">
        <f>_xlfn.STDEV.S(S3:S26)</f>
        <v>2041.5585886803476</v>
      </c>
      <c r="T28" s="9">
        <f t="shared" si="19"/>
        <v>2827.5955012767613</v>
      </c>
      <c r="U28" s="9">
        <f t="shared" si="19"/>
        <v>863.51453144373488</v>
      </c>
      <c r="V28" s="9">
        <f>_xlfn.STDEV.S(V3:V26)</f>
        <v>2860.5258305377902</v>
      </c>
      <c r="W28" s="9">
        <f t="shared" si="19"/>
        <v>2359.291925449827</v>
      </c>
      <c r="X28" s="9">
        <f t="shared" si="19"/>
        <v>1520.9728770604765</v>
      </c>
      <c r="Y28" s="9">
        <f>_xlfn.STDEV.S(Y3:Y26)</f>
        <v>3182.8065749964417</v>
      </c>
      <c r="Z28" s="9">
        <f t="shared" si="19"/>
        <v>2719.1654060455357</v>
      </c>
      <c r="AA28" s="9">
        <f t="shared" si="19"/>
        <v>1090.487817147824</v>
      </c>
      <c r="AB28" s="9">
        <f>_xlfn.STDEV.S(AB3:AB26)</f>
        <v>2899.1793179090018</v>
      </c>
      <c r="AC28" s="9">
        <f t="shared" si="19"/>
        <v>2072.9399722672115</v>
      </c>
      <c r="AD28" s="9">
        <f t="shared" si="19"/>
        <v>1071.950713196152</v>
      </c>
      <c r="AE28" s="9">
        <f>_xlfn.STDEV.S(AE3:AE26)</f>
        <v>2093.6059524318252</v>
      </c>
    </row>
    <row r="29" spans="1:31" x14ac:dyDescent="0.25">
      <c r="B29" s="6">
        <f>B27/1000</f>
        <v>346.47174999999999</v>
      </c>
      <c r="C29" s="6">
        <f t="shared" ref="C29:AD29" si="20">C27/1000</f>
        <v>140.57662500000001</v>
      </c>
      <c r="D29" s="6">
        <f t="shared" si="20"/>
        <v>487.04837500000002</v>
      </c>
      <c r="E29" s="6">
        <f t="shared" si="20"/>
        <v>345.29199999999997</v>
      </c>
      <c r="F29" s="6">
        <f t="shared" si="20"/>
        <v>141.11504166666666</v>
      </c>
      <c r="G29" s="6">
        <f t="shared" si="20"/>
        <v>486.40704166666671</v>
      </c>
      <c r="H29" s="6">
        <f t="shared" si="20"/>
        <v>347.52433333333329</v>
      </c>
      <c r="I29" s="6">
        <f t="shared" si="20"/>
        <v>140.34912499999999</v>
      </c>
      <c r="J29" s="6">
        <f t="shared" ref="J29" si="21">J27/1000</f>
        <v>487.8734583333333</v>
      </c>
      <c r="K29" s="6">
        <f t="shared" si="20"/>
        <v>346.04629166666666</v>
      </c>
      <c r="L29" s="6">
        <f t="shared" si="20"/>
        <v>141.76233333333334</v>
      </c>
      <c r="M29" s="6">
        <f t="shared" ref="M29" si="22">M27/1000</f>
        <v>487.80862500000001</v>
      </c>
      <c r="N29" s="6">
        <f t="shared" si="20"/>
        <v>346.6164583333333</v>
      </c>
      <c r="O29" s="6">
        <f t="shared" si="20"/>
        <v>141.44133333333335</v>
      </c>
      <c r="P29" s="6">
        <f t="shared" ref="P29" si="23">P27/1000</f>
        <v>488.05779166666667</v>
      </c>
      <c r="Q29" s="6">
        <f t="shared" si="20"/>
        <v>347.57929166666668</v>
      </c>
      <c r="R29" s="6">
        <f t="shared" si="20"/>
        <v>141.36479166666666</v>
      </c>
      <c r="S29" s="6">
        <f t="shared" ref="S29" si="24">S27/1000</f>
        <v>488.94408333333331</v>
      </c>
      <c r="T29" s="6">
        <f t="shared" si="20"/>
        <v>346.8341666666667</v>
      </c>
      <c r="U29" s="6">
        <f t="shared" si="20"/>
        <v>141.63095833333335</v>
      </c>
      <c r="V29" s="6">
        <f t="shared" ref="V29" si="25">V27/1000</f>
        <v>488.465125</v>
      </c>
      <c r="W29" s="6">
        <f t="shared" si="20"/>
        <v>347.10429166666671</v>
      </c>
      <c r="X29" s="6">
        <f t="shared" si="20"/>
        <v>141.81266666666664</v>
      </c>
      <c r="Y29" s="6">
        <f t="shared" ref="Y29" si="26">Y27/1000</f>
        <v>488.9169583333333</v>
      </c>
      <c r="Z29" s="6">
        <f t="shared" si="20"/>
        <v>346.51837499999999</v>
      </c>
      <c r="AA29" s="6">
        <f t="shared" si="20"/>
        <v>141.55387500000001</v>
      </c>
      <c r="AB29" s="6">
        <f t="shared" ref="AB29" si="27">AB27/1000</f>
        <v>488.07225</v>
      </c>
      <c r="AC29" s="6">
        <f t="shared" si="20"/>
        <v>347.09370833333332</v>
      </c>
      <c r="AD29" s="6">
        <f t="shared" si="20"/>
        <v>141.63062500000001</v>
      </c>
      <c r="AE29" s="6">
        <f t="shared" ref="AE29" si="28">AE27/1000</f>
        <v>488.72433333333333</v>
      </c>
    </row>
    <row r="30" spans="1:31" x14ac:dyDescent="0.25">
      <c r="B30" s="6">
        <f>B28/1000</f>
        <v>2.2593649021062454</v>
      </c>
      <c r="C30" s="6">
        <f t="shared" ref="C30:AD30" si="29">C28/1000</f>
        <v>0.86253049410491545</v>
      </c>
      <c r="D30" s="6">
        <f t="shared" si="29"/>
        <v>2.1451935518735832</v>
      </c>
      <c r="E30" s="6">
        <f t="shared" si="29"/>
        <v>2.7648621476761139</v>
      </c>
      <c r="F30" s="6">
        <f t="shared" si="29"/>
        <v>0.94751507865329632</v>
      </c>
      <c r="G30" s="6">
        <f t="shared" si="29"/>
        <v>2.5167048760176498</v>
      </c>
      <c r="H30" s="6">
        <f t="shared" si="29"/>
        <v>2.5591352083258032</v>
      </c>
      <c r="I30" s="6">
        <f t="shared" si="29"/>
        <v>1.3035002147228854</v>
      </c>
      <c r="J30" s="6">
        <f t="shared" ref="J30" si="30">J28/1000</f>
        <v>2.7251419584749303</v>
      </c>
      <c r="K30" s="6">
        <f t="shared" si="29"/>
        <v>2.7163429456142696</v>
      </c>
      <c r="L30" s="6">
        <f t="shared" si="29"/>
        <v>0.95550504135664882</v>
      </c>
      <c r="M30" s="6">
        <f t="shared" ref="M30" si="31">M28/1000</f>
        <v>2.8437664829909308</v>
      </c>
      <c r="N30" s="6">
        <f t="shared" si="29"/>
        <v>2.731798706365725</v>
      </c>
      <c r="O30" s="6">
        <f t="shared" si="29"/>
        <v>0.8959685391733383</v>
      </c>
      <c r="P30" s="6">
        <f t="shared" ref="P30" si="32">P28/1000</f>
        <v>2.8410609619458631</v>
      </c>
      <c r="Q30" s="6">
        <f t="shared" si="29"/>
        <v>2.0693209446824454</v>
      </c>
      <c r="R30" s="6">
        <f t="shared" si="29"/>
        <v>1.1213757846334647</v>
      </c>
      <c r="S30" s="6">
        <f t="shared" ref="S30" si="33">S28/1000</f>
        <v>2.0415585886803478</v>
      </c>
      <c r="T30" s="6">
        <f t="shared" si="29"/>
        <v>2.8275955012767615</v>
      </c>
      <c r="U30" s="6">
        <f t="shared" si="29"/>
        <v>0.86351453144373491</v>
      </c>
      <c r="V30" s="6">
        <f t="shared" ref="V30" si="34">V28/1000</f>
        <v>2.8605258305377901</v>
      </c>
      <c r="W30" s="6">
        <f t="shared" si="29"/>
        <v>2.3592919254498268</v>
      </c>
      <c r="X30" s="6">
        <f t="shared" si="29"/>
        <v>1.5209728770604765</v>
      </c>
      <c r="Y30" s="6">
        <f t="shared" ref="Y30" si="35">Y28/1000</f>
        <v>3.1828065749964418</v>
      </c>
      <c r="Z30" s="6">
        <f t="shared" si="29"/>
        <v>2.7191654060455357</v>
      </c>
      <c r="AA30" s="6">
        <f t="shared" si="29"/>
        <v>1.0904878171478241</v>
      </c>
      <c r="AB30" s="6">
        <f t="shared" ref="AB30" si="36">AB28/1000</f>
        <v>2.899179317909002</v>
      </c>
      <c r="AC30" s="6">
        <f t="shared" si="29"/>
        <v>2.0729399722672115</v>
      </c>
      <c r="AD30" s="6">
        <f t="shared" si="29"/>
        <v>1.0719507131961521</v>
      </c>
      <c r="AE30" s="6">
        <f t="shared" ref="AE30" si="37">AE28/1000</f>
        <v>2.0936059524318251</v>
      </c>
    </row>
    <row r="32" spans="1:31" x14ac:dyDescent="0.25">
      <c r="B32" s="13" t="s">
        <v>6</v>
      </c>
      <c r="C32" s="13"/>
      <c r="D32" s="13"/>
      <c r="E32" s="13" t="s">
        <v>10</v>
      </c>
    </row>
    <row r="33" spans="1:5" x14ac:dyDescent="0.25">
      <c r="B33" s="1" t="s">
        <v>3</v>
      </c>
      <c r="C33" s="1" t="s">
        <v>4</v>
      </c>
      <c r="D33" s="2" t="s">
        <v>11</v>
      </c>
      <c r="E33" s="13"/>
    </row>
    <row r="34" spans="1:5" x14ac:dyDescent="0.25">
      <c r="A34" s="5" t="s">
        <v>2</v>
      </c>
      <c r="B34" s="3">
        <f>AVERAGE(B3:B26,E3:E26,H3:H26,K3:K26,N3:N26,Q3:Q26,T3:T26,W3:W26,Z3:Z26,AC3:AC26)</f>
        <v>346708.06666666665</v>
      </c>
      <c r="C34" s="3">
        <f>AVERAGE(C3:C26,F3:F26,I3:I26,L3:L26,O3:O26,R3:R26,U3:U26,X3:X26,AA3:AA26,AD3:AD26)</f>
        <v>141323.73749999999</v>
      </c>
      <c r="D34" s="3">
        <f>AVERAGE(D3:D26,G3:G26,J3:J26,M3:M26,P3:P26,S3:S26,V3:V26,Y3:Y26,AB3:AB26,AE3:AE26)</f>
        <v>488031.80416666664</v>
      </c>
      <c r="E34" s="13" t="s">
        <v>8</v>
      </c>
    </row>
    <row r="35" spans="1:5" x14ac:dyDescent="0.25">
      <c r="A35" s="5" t="s">
        <v>7</v>
      </c>
      <c r="B35" s="1">
        <f>_xlfn.STDEV.S(B3:B26,E3:E26,H3:H26,K3:K26,N3:N26,Q3:Q26,T3:T26,W3:W26,Z3:Z26,AC3:AC26)</f>
        <v>2560.9514289572899</v>
      </c>
      <c r="C35" s="1">
        <f>_xlfn.STDEV.S(C3:C26,F3:F26,I3:I26,L3:L26,O3:O26,R3:R26,U3:U26,X3:X26,AA3:AA26,AD3:AD26)</f>
        <v>1162.7453598314739</v>
      </c>
      <c r="D35" s="1">
        <f>_xlfn.STDEV.S(D3:D26,G3:G26,J3:J26,M3:M26,P3:P26,S3:S26,V3:V26,Y3:Y26,AB3:AB26,AE3:AE26)</f>
        <v>2704.702116480611</v>
      </c>
      <c r="E35" s="13"/>
    </row>
    <row r="36" spans="1:5" x14ac:dyDescent="0.25">
      <c r="A36" s="5" t="s">
        <v>2</v>
      </c>
      <c r="B36" s="7">
        <f t="shared" ref="B36:D37" si="38">B34/1000</f>
        <v>346.70806666666664</v>
      </c>
      <c r="C36" s="7">
        <f t="shared" si="38"/>
        <v>141.32373749999999</v>
      </c>
      <c r="D36" s="7">
        <f t="shared" si="38"/>
        <v>488.03180416666663</v>
      </c>
      <c r="E36" s="13" t="s">
        <v>9</v>
      </c>
    </row>
    <row r="37" spans="1:5" x14ac:dyDescent="0.25">
      <c r="A37" s="5" t="s">
        <v>7</v>
      </c>
      <c r="B37" s="7">
        <f t="shared" si="38"/>
        <v>2.5609514289572899</v>
      </c>
      <c r="C37" s="7">
        <f t="shared" si="38"/>
        <v>1.1627453598314739</v>
      </c>
      <c r="D37" s="7">
        <f t="shared" si="38"/>
        <v>2.7047021164806111</v>
      </c>
      <c r="E37" s="13"/>
    </row>
  </sheetData>
  <mergeCells count="15">
    <mergeCell ref="E34:E35"/>
    <mergeCell ref="E36:E37"/>
    <mergeCell ref="B1:D1"/>
    <mergeCell ref="E1:G1"/>
    <mergeCell ref="B32:D32"/>
    <mergeCell ref="Q1:S1"/>
    <mergeCell ref="T1:V1"/>
    <mergeCell ref="W1:Y1"/>
    <mergeCell ref="Z1:AB1"/>
    <mergeCell ref="AC1:AE1"/>
    <mergeCell ref="A1:A2"/>
    <mergeCell ref="E32:E33"/>
    <mergeCell ref="H1:J1"/>
    <mergeCell ref="K1:M1"/>
    <mergeCell ref="N1:P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Accuracy</vt:lpstr>
      <vt:lpstr>Processing time</vt:lpstr>
    </vt:vector>
  </TitlesOfParts>
  <Company>UTS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Dat Nguyen</dc:creator>
  <cp:lastModifiedBy>Manh Dat Nguyen</cp:lastModifiedBy>
  <dcterms:created xsi:type="dcterms:W3CDTF">2025-02-04T00:50:13Z</dcterms:created>
  <dcterms:modified xsi:type="dcterms:W3CDTF">2025-05-24T06:07:54Z</dcterms:modified>
</cp:coreProperties>
</file>